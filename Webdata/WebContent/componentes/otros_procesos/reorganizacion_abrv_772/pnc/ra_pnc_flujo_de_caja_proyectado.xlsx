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al\Downloads\Plantillas inventarios\"/>
    </mc:Choice>
  </mc:AlternateContent>
  <xr:revisionPtr revIDLastSave="0" documentId="13_ncr:1_{2E298689-2527-4CDC-9517-CE8D6D198DAD}" xr6:coauthVersionLast="47" xr6:coauthVersionMax="47" xr10:uidLastSave="{00000000-0000-0000-0000-000000000000}"/>
  <bookViews>
    <workbookView xWindow="28680" yWindow="-120" windowWidth="29040" windowHeight="15840" xr2:uid="{44AD129F-B57A-4620-AA6E-0FAD227F8F8D}"/>
  </bookViews>
  <sheets>
    <sheet name="FLUJO DE EFECTIVO PROYECTADO" sheetId="3" r:id="rId1"/>
  </sheets>
  <externalReferences>
    <externalReference r:id="rId2"/>
  </externalReferences>
  <definedNames>
    <definedName name="sdstipos_TipoAcuerdoAnteSupersociedades">[1]Lists!$L$3:$L$4</definedName>
    <definedName name="sdstipos_TipoCIIU">[1]Lists!$D$3:$D$497</definedName>
    <definedName name="sdstipos_TipoCiudadesYDepartamentos">[1]Lists!$J$3:$J$1134</definedName>
    <definedName name="sdstipos_TipoDeDocumento">[1]Lists!$R$3:$R$5</definedName>
    <definedName name="sdstipos_TipoDepartamentos">[1]Lists!$H$3:$H$35</definedName>
    <definedName name="sdstipos_TipoInicioProceso">[1]Lists!$N$3:$N$6</definedName>
    <definedName name="sdstipos_TipoPaises">[1]Lists!$P$3:$P$233</definedName>
    <definedName name="sdstipos_TipoPeriodoReportado">[1]Lists!$B$3:$B$5</definedName>
    <definedName name="sdstipos_TipoSiNo">[1]Lists!$P$3:$P$4</definedName>
    <definedName name="sdstipos_TipoSocietario">[1]Lists!$F$3:$F$10</definedName>
    <definedName name="sdstipos2017_TipoDeDocumentoAccionista">[1]Lists!$AB$3:$AB$7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1" i="3" l="1"/>
  <c r="O61" i="3"/>
  <c r="N61" i="3"/>
  <c r="M61" i="3"/>
  <c r="L61" i="3"/>
  <c r="K61" i="3"/>
  <c r="J61" i="3"/>
  <c r="I61" i="3"/>
  <c r="H61" i="3"/>
  <c r="G61" i="3"/>
  <c r="F61" i="3"/>
  <c r="P45" i="3"/>
  <c r="O45" i="3"/>
  <c r="N45" i="3"/>
  <c r="M45" i="3"/>
  <c r="L45" i="3"/>
  <c r="K45" i="3"/>
  <c r="J45" i="3"/>
  <c r="I45" i="3"/>
  <c r="H45" i="3"/>
  <c r="G45" i="3"/>
  <c r="F45" i="3"/>
  <c r="P17" i="3"/>
  <c r="P25" i="3" s="1"/>
  <c r="O17" i="3"/>
  <c r="O25" i="3" s="1"/>
  <c r="N17" i="3"/>
  <c r="N25" i="3" s="1"/>
  <c r="M17" i="3"/>
  <c r="M25" i="3" s="1"/>
  <c r="L17" i="3"/>
  <c r="L25" i="3" s="1"/>
  <c r="K17" i="3"/>
  <c r="K25" i="3" s="1"/>
  <c r="J17" i="3"/>
  <c r="J25" i="3" s="1"/>
  <c r="I17" i="3"/>
  <c r="I25" i="3" s="1"/>
  <c r="H17" i="3"/>
  <c r="H25" i="3" s="1"/>
  <c r="G17" i="3"/>
  <c r="G25" i="3" s="1"/>
  <c r="F17" i="3"/>
  <c r="F25" i="3" s="1"/>
  <c r="O62" i="3" l="1"/>
  <c r="O65" i="3" s="1"/>
  <c r="G62" i="3"/>
  <c r="G65" i="3" s="1"/>
  <c r="I62" i="3"/>
  <c r="I65" i="3" s="1"/>
  <c r="J62" i="3"/>
  <c r="J65" i="3" s="1"/>
  <c r="K62" i="3"/>
  <c r="K65" i="3" s="1"/>
  <c r="H62" i="3"/>
  <c r="H65" i="3" s="1"/>
  <c r="P62" i="3"/>
  <c r="P65" i="3" s="1"/>
  <c r="M62" i="3"/>
  <c r="M65" i="3" s="1"/>
  <c r="L62" i="3"/>
  <c r="L65" i="3" s="1"/>
  <c r="F62" i="3"/>
  <c r="F65" i="3" s="1"/>
  <c r="N62" i="3"/>
  <c r="N65" i="3" s="1"/>
</calcChain>
</file>

<file path=xl/sharedStrings.xml><?xml version="1.0" encoding="utf-8"?>
<sst xmlns="http://schemas.openxmlformats.org/spreadsheetml/2006/main" count="89" uniqueCount="85">
  <si>
    <t xml:space="preserve"> Estado de flujos de efectivo - método indirecto </t>
  </si>
  <si>
    <t>Saldo a 31 de diciembre último año</t>
  </si>
  <si>
    <t>Proyección año 1</t>
  </si>
  <si>
    <t>Proyección año 2</t>
  </si>
  <si>
    <t>Proyección año 3</t>
  </si>
  <si>
    <t>Proyección año 4</t>
  </si>
  <si>
    <t>Proyección año 5</t>
  </si>
  <si>
    <t>Proyección año 6</t>
  </si>
  <si>
    <t>Proyección año 7</t>
  </si>
  <si>
    <t>Proyección año 8</t>
  </si>
  <si>
    <t>Proyección año 9</t>
  </si>
  <si>
    <t>Proyección año 10</t>
  </si>
  <si>
    <t xml:space="preserve">Actividades de operación </t>
  </si>
  <si>
    <t>Ganancia (pérdida)</t>
  </si>
  <si>
    <t xml:space="preserve">Ajustes para conciliar la ganancia (pérdida) </t>
  </si>
  <si>
    <t>(+/-) Ajustes por gastos por impuestos a las ganancias</t>
  </si>
  <si>
    <t>( + ) Ajustes por gastos de depreciación y amortización</t>
  </si>
  <si>
    <t>(+/-) Ajustes por deterioro de valor (reversiones de pérdidas por deterioro de valor) reconocidas en el resultado del periodo</t>
  </si>
  <si>
    <t>(+) Ajustes por provisiones</t>
  </si>
  <si>
    <t>(+) Ajustes por costos financieros</t>
  </si>
  <si>
    <t>(+/-) Ajustes por pérdidas (ganancias) de moneda extranjera no realizadas</t>
  </si>
  <si>
    <t>(+) Ajustes por pérdidas (ganancias) del valor razonable</t>
  </si>
  <si>
    <t>(-) Ajustes por ganancias no distribuidas de asociadas</t>
  </si>
  <si>
    <t>(+/-) Ajustes por pérdidas (ganancias) por la disposición de activos no corrientes</t>
  </si>
  <si>
    <t>(+/-) Otros ajustes para conciliar la ganancia (pérdida)</t>
  </si>
  <si>
    <t>Total ajustes para conciliar la ganancia (pérdida)</t>
  </si>
  <si>
    <t xml:space="preserve">Flujos de efectivo procedentes de (utilizados en) actividades de operación </t>
  </si>
  <si>
    <t>(+/-) Ajustes por disminuciones (incrementos) en los inventarios</t>
  </si>
  <si>
    <t>(+/-) Ajustes por la disminución (incremento) de cuentas por cobrar de origen comercial</t>
  </si>
  <si>
    <t>(+/-) Ajustes por disminuciones (incrementos) en otras cuentas por cobrar derivadas de las actividades de operación</t>
  </si>
  <si>
    <t>(+/-) Ajustes por el incremento (disminución) de cuentas por pagar de origen comercial</t>
  </si>
  <si>
    <t>(+/-) Ajustes por incrementos (disminuciones) en otras cuentas por pagar derivadas de las actividades de operación</t>
  </si>
  <si>
    <t>(+/-) Otras entradas (salidas) de efectivo</t>
  </si>
  <si>
    <t>Flujos de efectivo netos procedentes de (utilizados en) actividades de operación</t>
  </si>
  <si>
    <t>Flujos de efectivo procedentes de (utilizados en) actividades de inversión [sinopsis]</t>
  </si>
  <si>
    <t>(+) Flujos de efectivo procedentes de la pérdida de control de subsidiarias u otros negocios</t>
  </si>
  <si>
    <t>(-) Flujos de efectivo utilizados para obtener el control de subsidiarias u otros negocios</t>
  </si>
  <si>
    <t>(+) Otros cobros por la venta de patrimonio o instrumentos de deuda de otras entidades</t>
  </si>
  <si>
    <t>(-) Otros pagos para adquirir patrimonio o instrumentos de deuda de otras entidades</t>
  </si>
  <si>
    <t>(+) Otros cobros por la venta de participaciones en negocios conjuntos</t>
  </si>
  <si>
    <t>(-) Otros pagos para adquirir participaciones en negocios conjuntos</t>
  </si>
  <si>
    <t>(+) Importes procedentes de la venta de propiedades, planta y equipo</t>
  </si>
  <si>
    <t>(-) Compras de propiedades, planta y equipo</t>
  </si>
  <si>
    <t>(+) Importes procedentes de ventas de activos intangibles</t>
  </si>
  <si>
    <t>(-) Compras de activos intangibles</t>
  </si>
  <si>
    <t>(+) Recursos por ventas de otros activos a largo plazo</t>
  </si>
  <si>
    <t>(-) Compras de otros activos a largo plazo</t>
  </si>
  <si>
    <t>(+) Importes procedentes de subvenciones del gobierno</t>
  </si>
  <si>
    <t>(-) Pagos derivados de contratos de futuro, a término, de opciones y de permuta financiera</t>
  </si>
  <si>
    <t>(+) Cobros procedentes de contratos de futuro, a término, de opciones y de permuta financiera</t>
  </si>
  <si>
    <t>(+) Dividendos recibidos</t>
  </si>
  <si>
    <t>(+) Intereses recibidos</t>
  </si>
  <si>
    <t>Flujos de efectivo netos procedentes de (utilizados en) actividades de inversión</t>
  </si>
  <si>
    <t>Flujos de efectivo procedentes de (utilizados en) actividades de financiación [sinopsis]</t>
  </si>
  <si>
    <t>(+) Recursos por cambios en las participaciones en la propiedad en subsidiarias que no dan lugar a la pérdida de control</t>
  </si>
  <si>
    <t>(-) Pagos por cambios en las participaciones en la propiedad en subsidiarias que no dan lugar a la pérdida de control</t>
  </si>
  <si>
    <t>(+) Importes procedentes de aumento de capital y/o recolocación de acciones</t>
  </si>
  <si>
    <t>(-) Disminución de capital social y/o readquisición de acciones</t>
  </si>
  <si>
    <t>(-) Pagos por otras participaciones en el patrimonio</t>
  </si>
  <si>
    <t>(+) Importe procedente del aumento prima por emisión</t>
  </si>
  <si>
    <t>(-) Disminución de prima por emisión</t>
  </si>
  <si>
    <t>(+) Importes procedentes de préstamos</t>
  </si>
  <si>
    <t>(-) Reembolsos de préstamos</t>
  </si>
  <si>
    <t>(-) Pagos de pasivos por arrendamientos financieros</t>
  </si>
  <si>
    <t>(-) Dividendos pagados</t>
  </si>
  <si>
    <t>(-) Intereses pagados</t>
  </si>
  <si>
    <t>Flujos de efectivo netos procedentes de (utilizados en) actividades de financiación</t>
  </si>
  <si>
    <t>Incremento (disminución) neto de efectivo y equivalentes al efectivo, antes del efecto de los cambios en la tasa de cambio</t>
  </si>
  <si>
    <t>Efectos de la variación en la tasa de cambio sobre el efectivo y equivalentes al efectivo [sinopsis]</t>
  </si>
  <si>
    <t>(+/-) Efectos de la variación en la tasa de cambio sobre el efectivo y equivalentes al efectivo</t>
  </si>
  <si>
    <t>Incremento (disminución) neto de efectivo y equivalentes al efectivo</t>
  </si>
  <si>
    <t>Efectivo y equivalentes al efectivo al principio del periodo</t>
  </si>
  <si>
    <t>Efectivo y equivalentes al efectivo al final del periodo</t>
  </si>
  <si>
    <t>Efectivo y equivalentes disponible al efectivo al final del periodo</t>
  </si>
  <si>
    <t xml:space="preserve">Firmas: </t>
  </si>
  <si>
    <t>CC:</t>
  </si>
  <si>
    <t>TP:</t>
  </si>
  <si>
    <t xml:space="preserve">Nombre del Contador Público ( Opcional): </t>
  </si>
  <si>
    <t>Pago de las obligaciones sujetas al Acuerdo</t>
  </si>
  <si>
    <t>Primera Clase</t>
  </si>
  <si>
    <t>Segunda Clase</t>
  </si>
  <si>
    <t>Tercera Clase</t>
  </si>
  <si>
    <t>Cuarta Clase</t>
  </si>
  <si>
    <t>Quinta Clase</t>
  </si>
  <si>
    <t>Nombre del Deudor: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</si>
</sst>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Microsoft Sans Serif"/>
      <family val="2"/>
    </font>
    <font>
      <sz val="9"/>
      <name val="Microsoft Sans Serif"/>
      <family val="2"/>
    </font>
    <font>
      <b/>
      <sz val="9"/>
      <name val="Microsoft Sans Serif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" fillId="0" borderId="0" xfId="1"/>
    <xf numFmtId="0" fontId="3" fillId="2" borderId="3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1" fillId="0" borderId="3" xfId="1" applyBorder="1"/>
    <xf numFmtId="0" fontId="3" fillId="0" borderId="3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4" fontId="1" fillId="0" borderId="3" xfId="1" applyNumberFormat="1" applyBorder="1" applyAlignment="1">
      <alignment vertical="center"/>
    </xf>
    <xf numFmtId="0" fontId="3" fillId="2" borderId="9" xfId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3" xfId="1" applyFont="1" applyFill="1" applyBorder="1"/>
    <xf numFmtId="0" fontId="1" fillId="0" borderId="3" xfId="1" applyFill="1" applyBorder="1"/>
    <xf numFmtId="0" fontId="4" fillId="0" borderId="3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627DF6A9-4385-4CA3-A31A-18128A16D5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81</xdr:row>
      <xdr:rowOff>190501</xdr:rowOff>
    </xdr:from>
    <xdr:to>
      <xdr:col>6</xdr:col>
      <xdr:colOff>2238375</xdr:colOff>
      <xdr:row>85</xdr:row>
      <xdr:rowOff>171451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711AEF3B-5470-4799-9D43-D26A7D0D8DB3}"/>
            </a:ext>
          </a:extLst>
        </xdr:cNvPr>
        <xdr:cNvSpPr/>
      </xdr:nvSpPr>
      <xdr:spPr>
        <a:xfrm>
          <a:off x="876300" y="4991101"/>
          <a:ext cx="2200275" cy="7810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76200</xdr:colOff>
      <xdr:row>82</xdr:row>
      <xdr:rowOff>19051</xdr:rowOff>
    </xdr:from>
    <xdr:to>
      <xdr:col>7</xdr:col>
      <xdr:colOff>2905125</xdr:colOff>
      <xdr:row>86</xdr:row>
      <xdr:rowOff>9525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5F9164CD-23FC-496A-8492-2BFB0D90FDF6}"/>
            </a:ext>
          </a:extLst>
        </xdr:cNvPr>
        <xdr:cNvSpPr/>
      </xdr:nvSpPr>
      <xdr:spPr>
        <a:xfrm>
          <a:off x="3190875" y="5019676"/>
          <a:ext cx="2828925" cy="790574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out:bla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Hoja01"/>
      <sheetName val="Lists"/>
      <sheetName val="Hoja02"/>
      <sheetName val="Hoja04"/>
      <sheetName val="Hoja05"/>
      <sheetName val="Hoja06"/>
      <sheetName val="Hoja07"/>
      <sheetName val="Hoja08"/>
      <sheetName val="Hoja10"/>
      <sheetName val="Hoja12"/>
      <sheetName val="Hoja03"/>
      <sheetName val="Hoja09"/>
      <sheetName val="Hoja11"/>
      <sheetName val="Hoja13"/>
      <sheetName val="Hoja14"/>
      <sheetName val="Hoja15"/>
      <sheetName val="Hoja16"/>
      <sheetName val="Hoja17"/>
      <sheetName val="Hoja18"/>
      <sheetName val="Hoja19"/>
      <sheetName val="Hoja20"/>
      <sheetName val="Hoja21"/>
      <sheetName val="Hoja22"/>
      <sheetName val="Hoja23"/>
      <sheetName val="Hoja24"/>
    </sheetNames>
    <sheetDataSet>
      <sheetData sheetId="0" refreshError="1"/>
      <sheetData sheetId="1" refreshError="1"/>
      <sheetData sheetId="2" refreshError="1">
        <row r="3">
          <cell r="B3" t="str">
            <v>01 - 1 de enero - 31 de marzo</v>
          </cell>
          <cell r="D3" t="str">
            <v>A0111 - Cultivo de cereales (excepto arroz), legumbres y semillas oleaginosas</v>
          </cell>
          <cell r="F3" t="str">
            <v>01. SOCIEDAD ANÓNIMA</v>
          </cell>
          <cell r="H3" t="str">
            <v>AMAZONAS</v>
          </cell>
          <cell r="J3" t="str">
            <v>ABEJORRAL-ANTIOQUIA</v>
          </cell>
          <cell r="L3" t="str">
            <v>01 - Acuerdo de Reorganización - Ley 1116</v>
          </cell>
          <cell r="N3" t="str">
            <v>01 - De oficio</v>
          </cell>
          <cell r="P3" t="str">
            <v>013 - AFGANISTAN</v>
          </cell>
          <cell r="R3" t="str">
            <v>CEDULA DE CIUDADANIA</v>
          </cell>
          <cell r="AB3" t="str">
            <v>CEDULA DE CIUDADANIA</v>
          </cell>
        </row>
        <row r="4">
          <cell r="B4" t="str">
            <v>02 - 1 de enero - 30 de junio</v>
          </cell>
          <cell r="D4" t="str">
            <v>A0112 - Cultivo de arroz</v>
          </cell>
          <cell r="F4" t="str">
            <v>02. SUCURSAL EXTRANJERA</v>
          </cell>
          <cell r="H4" t="str">
            <v>ANTIOQUIA</v>
          </cell>
          <cell r="J4" t="str">
            <v>ABREGO-NORTE DE SANTANDER</v>
          </cell>
          <cell r="L4" t="str">
            <v>02 - Acuerdo de Reestructuración - Ley 550</v>
          </cell>
          <cell r="N4" t="str">
            <v>02 - Solicitud del deudor</v>
          </cell>
          <cell r="P4" t="str">
            <v>017 - ALBANIA</v>
          </cell>
          <cell r="R4" t="str">
            <v>CEDULA DE EXTRANJERIA</v>
          </cell>
          <cell r="AB4" t="str">
            <v>CEDULA DE EXTRANJERIA</v>
          </cell>
        </row>
        <row r="5">
          <cell r="B5" t="str">
            <v>03 - 1 de enero - 30 de septiembre</v>
          </cell>
          <cell r="D5" t="str">
            <v>A0113 - Cultivo de hortalizas, raíces y tubérculos</v>
          </cell>
          <cell r="F5" t="str">
            <v>03. SOCIEDAD LIMITADA</v>
          </cell>
          <cell r="H5" t="str">
            <v>ARAUCA</v>
          </cell>
          <cell r="J5" t="str">
            <v>ABRIAQUI-ANTIOQUIA</v>
          </cell>
          <cell r="N5" t="str">
            <v>03 - Solicitud del acreedor</v>
          </cell>
          <cell r="P5" t="str">
            <v>023 - ALEMANIA</v>
          </cell>
          <cell r="R5" t="str">
            <v>PASAPORTE</v>
          </cell>
          <cell r="AB5" t="str">
            <v>NIT</v>
          </cell>
        </row>
        <row r="6">
          <cell r="D6" t="str">
            <v>A0114 - Cultivo de tabaco</v>
          </cell>
          <cell r="F6" t="str">
            <v>04. SOCIEDAD EN COMANDITA</v>
          </cell>
          <cell r="H6" t="str">
            <v>ATLANTICO</v>
          </cell>
          <cell r="J6" t="str">
            <v>ACACIAS-META</v>
          </cell>
          <cell r="N6" t="str">
            <v>04 - Solicitud de autoridad quien ejerce IVC</v>
          </cell>
          <cell r="P6" t="str">
            <v>026 - ARMENIA</v>
          </cell>
          <cell r="AB6" t="str">
            <v>PASAPORTE</v>
          </cell>
        </row>
        <row r="7">
          <cell r="D7" t="str">
            <v>A0115 - Cultivo de plantas textiles</v>
          </cell>
          <cell r="F7" t="str">
            <v>05. SOCIEDAD EN COMANDITA POR ACCIONES</v>
          </cell>
          <cell r="H7" t="str">
            <v>BOGOTA D.C.</v>
          </cell>
          <cell r="J7" t="str">
            <v>ACANDI-CHOCO</v>
          </cell>
          <cell r="P7" t="str">
            <v>027 - ARUBA</v>
          </cell>
          <cell r="AB7" t="str">
            <v>TARJETA DE IDENTIDAD</v>
          </cell>
        </row>
        <row r="8">
          <cell r="D8" t="str">
            <v>A0119 - Otros cultivos transitorios n.c.p.</v>
          </cell>
          <cell r="F8" t="str">
            <v>06. COLECTIVA</v>
          </cell>
          <cell r="H8" t="str">
            <v>BOLIVAR</v>
          </cell>
          <cell r="J8" t="str">
            <v>ACEVEDO-HUILA</v>
          </cell>
          <cell r="P8" t="str">
            <v>029 - BOSNIA</v>
          </cell>
        </row>
        <row r="9">
          <cell r="D9" t="str">
            <v>A0121 - Cultivo de frutas tropicales y subtropicales</v>
          </cell>
          <cell r="F9" t="str">
            <v>07. EMPRESA UNIPERSONAL</v>
          </cell>
          <cell r="H9" t="str">
            <v>BOYACA</v>
          </cell>
          <cell r="J9" t="str">
            <v>ACHI-BOLIVAR</v>
          </cell>
          <cell r="P9" t="str">
            <v>031 -BURKINA FASSO</v>
          </cell>
        </row>
        <row r="10">
          <cell r="D10" t="str">
            <v>A0122 - Cultivo de plátano y banano</v>
          </cell>
          <cell r="F10" t="str">
            <v>08. SOCIEDAD POR ACCIONES SIMPLIFICADA SAS</v>
          </cell>
          <cell r="H10" t="str">
            <v>CALDAS</v>
          </cell>
          <cell r="J10" t="str">
            <v>AGRADO-HUILA</v>
          </cell>
          <cell r="P10" t="str">
            <v>037 - ANDORRA</v>
          </cell>
        </row>
        <row r="11">
          <cell r="D11" t="str">
            <v>A0123 - Cultivo de café</v>
          </cell>
          <cell r="H11" t="str">
            <v>CAQUETA</v>
          </cell>
          <cell r="J11" t="str">
            <v>AGUA-DE-DIOS-CUNDINAMARCA</v>
          </cell>
          <cell r="P11" t="str">
            <v>040 - ANGOLA</v>
          </cell>
        </row>
        <row r="12">
          <cell r="D12" t="str">
            <v>A0124 - Cultivo de caña de azúcar</v>
          </cell>
          <cell r="H12" t="str">
            <v>CASANARE</v>
          </cell>
          <cell r="J12" t="str">
            <v>AGUACHICA-CESAR</v>
          </cell>
          <cell r="P12" t="str">
            <v>041 - ANGUILLA</v>
          </cell>
        </row>
        <row r="13">
          <cell r="D13" t="str">
            <v>A0125 - Cultivo de flor de corte</v>
          </cell>
          <cell r="H13" t="str">
            <v>CAUCA</v>
          </cell>
          <cell r="J13" t="str">
            <v>AGUADA-SANTANDER</v>
          </cell>
          <cell r="P13" t="str">
            <v>043 - ANTIGUA Y BARBUDA</v>
          </cell>
        </row>
        <row r="14">
          <cell r="D14" t="str">
            <v>A0126 - Cultivo de palma para aceite (palma africana) y otros frutos oleaginosos</v>
          </cell>
          <cell r="H14" t="str">
            <v>CESAR</v>
          </cell>
          <cell r="J14" t="str">
            <v>AGUADAS-CALDAS</v>
          </cell>
          <cell r="P14" t="str">
            <v>047 - ANTILLAS HOLANDESAS</v>
          </cell>
        </row>
        <row r="15">
          <cell r="D15" t="str">
            <v>A0127 - Cultivo de plantas con las que se preparan bebidas</v>
          </cell>
          <cell r="H15" t="str">
            <v>CHOCO</v>
          </cell>
          <cell r="J15" t="str">
            <v>AGUAZUL-CASANARE</v>
          </cell>
          <cell r="P15" t="str">
            <v>053 - ARABIA SAUDITA</v>
          </cell>
        </row>
        <row r="16">
          <cell r="D16" t="str">
            <v>A0128 - Cultivo de especias y de plantas aromáticas y medicinales</v>
          </cell>
          <cell r="H16" t="str">
            <v>CORDOBA</v>
          </cell>
          <cell r="J16" t="str">
            <v>AGUSTIN-CODAZZI-CESAR</v>
          </cell>
          <cell r="P16" t="str">
            <v>059 - ARGELIA</v>
          </cell>
        </row>
        <row r="17">
          <cell r="D17" t="str">
            <v>A0129 - Otros cultivos permanentes n.c.p.</v>
          </cell>
          <cell r="H17" t="str">
            <v>CUNDINAMARCA</v>
          </cell>
          <cell r="J17" t="str">
            <v>AIPE-HUILA</v>
          </cell>
          <cell r="P17" t="str">
            <v>063 - ARGENTINA</v>
          </cell>
        </row>
        <row r="18">
          <cell r="D18" t="str">
            <v>A0130 - Propagación de plantas (actividades de los viveros, excepto viveros forestales)</v>
          </cell>
          <cell r="H18" t="str">
            <v>GUAINIA</v>
          </cell>
          <cell r="J18" t="str">
            <v>ALBAN-CUNDINAMARCA</v>
          </cell>
          <cell r="P18" t="str">
            <v>069 - AUSTRALIA</v>
          </cell>
        </row>
        <row r="19">
          <cell r="D19" t="str">
            <v>A0141 - Cría de ganado bovino y bufalino</v>
          </cell>
          <cell r="H19" t="str">
            <v>GUAVIARE</v>
          </cell>
          <cell r="J19" t="str">
            <v>ALBAN-NARINO</v>
          </cell>
          <cell r="P19" t="str">
            <v>072 - AUSTRIA</v>
          </cell>
        </row>
        <row r="20">
          <cell r="D20" t="str">
            <v>A0142 - Cría de caballos y otros equinos</v>
          </cell>
          <cell r="H20" t="str">
            <v>HUILA</v>
          </cell>
          <cell r="J20" t="str">
            <v>ALBANIA-CAQUETA</v>
          </cell>
          <cell r="P20" t="str">
            <v>074 - AZERBAIJAN</v>
          </cell>
        </row>
        <row r="21">
          <cell r="D21" t="str">
            <v>A0143 - Cría de ovejas y cabras</v>
          </cell>
          <cell r="H21" t="str">
            <v>LA GUAJIRA</v>
          </cell>
          <cell r="J21" t="str">
            <v>ALBANIA-LA GUAJIRA</v>
          </cell>
          <cell r="P21" t="str">
            <v>077 - BAHAMAS</v>
          </cell>
        </row>
        <row r="22">
          <cell r="D22" t="str">
            <v>A0144 - Cría de ganado porcino</v>
          </cell>
          <cell r="H22" t="str">
            <v>MAGDALENA</v>
          </cell>
          <cell r="J22" t="str">
            <v>ALBANIA-SANTANDER</v>
          </cell>
          <cell r="P22" t="str">
            <v>080 - BAHREIN</v>
          </cell>
        </row>
        <row r="23">
          <cell r="D23" t="str">
            <v>A0145 - Cría de aves de corral</v>
          </cell>
          <cell r="H23" t="str">
            <v>META</v>
          </cell>
          <cell r="J23" t="str">
            <v>ALCALA-VALLE</v>
          </cell>
          <cell r="P23" t="str">
            <v>081 - BANGLADESH</v>
          </cell>
        </row>
        <row r="24">
          <cell r="D24" t="str">
            <v>A0149 - Cría de otros animales n.c.p.</v>
          </cell>
          <cell r="H24" t="str">
            <v>NARINO</v>
          </cell>
          <cell r="J24" t="str">
            <v>ALDANA-NARINO</v>
          </cell>
          <cell r="P24" t="str">
            <v>083 - BARBADOS</v>
          </cell>
        </row>
        <row r="25">
          <cell r="D25" t="str">
            <v>A0150 - Explotación mixta (agrícola y pecuaria)</v>
          </cell>
          <cell r="H25" t="str">
            <v>NORTE DE SANTANDER</v>
          </cell>
          <cell r="J25" t="str">
            <v>ALEJANDRIA-ANTIOQUIA</v>
          </cell>
          <cell r="P25" t="str">
            <v>087 - BELGICA</v>
          </cell>
        </row>
        <row r="26">
          <cell r="D26" t="str">
            <v>A0161 - Actividades de apoyo a la agricultura</v>
          </cell>
          <cell r="H26" t="str">
            <v>PUTUMAYO</v>
          </cell>
          <cell r="J26" t="str">
            <v>ALGARROBO-MAGDALENA</v>
          </cell>
          <cell r="P26" t="str">
            <v>088 - BELICE</v>
          </cell>
        </row>
        <row r="27">
          <cell r="D27" t="str">
            <v>A0162 - Actividades de apoyo a la ganadería</v>
          </cell>
          <cell r="H27" t="str">
            <v>QUINDIO</v>
          </cell>
          <cell r="J27" t="str">
            <v>ALGECIRAS-HUILA</v>
          </cell>
          <cell r="P27" t="str">
            <v>090 - BERMUDAS</v>
          </cell>
        </row>
        <row r="28">
          <cell r="D28" t="str">
            <v>A0163 - Actividades posteriores a la cosecha</v>
          </cell>
          <cell r="H28" t="str">
            <v>RISARALDA</v>
          </cell>
          <cell r="J28" t="str">
            <v>ALMAGUER-CAUCA</v>
          </cell>
          <cell r="P28" t="str">
            <v>091 - BELARUS</v>
          </cell>
        </row>
        <row r="29">
          <cell r="D29" t="str">
            <v>A0164 - Tratamiento de semillas para propagación</v>
          </cell>
          <cell r="H29" t="str">
            <v>SAN ANDRES Y PROVIDENCIA</v>
          </cell>
          <cell r="J29" t="str">
            <v>ALMEIDA-BOYACA</v>
          </cell>
          <cell r="P29" t="str">
            <v>093 - BIRMANIA (MYANMAR)</v>
          </cell>
        </row>
        <row r="30">
          <cell r="D30" t="str">
            <v>A0170 - Caza ordinaria y mediante trampas y actividades de servicios conexas</v>
          </cell>
          <cell r="H30" t="str">
            <v>SANTANDER</v>
          </cell>
          <cell r="J30" t="str">
            <v>ALPUJARRA-TOLIMA</v>
          </cell>
          <cell r="P30" t="str">
            <v>097 - BOLIVIA</v>
          </cell>
        </row>
        <row r="31">
          <cell r="D31" t="str">
            <v>A0210 - Silvicultura y otras actividades forestales</v>
          </cell>
          <cell r="H31" t="str">
            <v>SUCRE</v>
          </cell>
          <cell r="J31" t="str">
            <v>ALTAMIRA-HUILA</v>
          </cell>
          <cell r="P31" t="str">
            <v>101 - BOTSWANA</v>
          </cell>
        </row>
        <row r="32">
          <cell r="D32" t="str">
            <v>A0220 - Extracción de madera</v>
          </cell>
          <cell r="H32" t="str">
            <v>TOLIMA</v>
          </cell>
          <cell r="J32" t="str">
            <v>ALTO-BAUDO-CHOCO</v>
          </cell>
          <cell r="P32" t="str">
            <v>105 - BRASIL</v>
          </cell>
        </row>
        <row r="33">
          <cell r="D33" t="str">
            <v>A0230 - Recolección de productos forestales diferentes a la madera</v>
          </cell>
          <cell r="H33" t="str">
            <v>VALLE</v>
          </cell>
          <cell r="J33" t="str">
            <v>ALTOS-DEL-ROSARIO-BOLIVAR</v>
          </cell>
          <cell r="P33" t="str">
            <v>108 - BRUNEI DARUSSALAM</v>
          </cell>
        </row>
        <row r="34">
          <cell r="D34" t="str">
            <v>A0240 - Servicios de apoyo a la silvicultura</v>
          </cell>
          <cell r="H34" t="str">
            <v>VAUPES</v>
          </cell>
          <cell r="J34" t="str">
            <v>ALVARADO-TOLIMA</v>
          </cell>
          <cell r="P34" t="str">
            <v>111 - BULGARIA</v>
          </cell>
        </row>
        <row r="35">
          <cell r="D35" t="str">
            <v>A0311 - Pesca marítima</v>
          </cell>
          <cell r="H35" t="str">
            <v>VICHADA</v>
          </cell>
          <cell r="J35" t="str">
            <v>AMAGA-ANTIOQUIA</v>
          </cell>
          <cell r="P35" t="str">
            <v>115 - BURUNDI</v>
          </cell>
        </row>
        <row r="36">
          <cell r="D36" t="str">
            <v>A0312 - Pesca de agua dulce</v>
          </cell>
          <cell r="J36" t="str">
            <v>AMALFI-ANTIOQUIA</v>
          </cell>
          <cell r="P36" t="str">
            <v>119 - BUTAN</v>
          </cell>
        </row>
        <row r="37">
          <cell r="D37" t="str">
            <v>A0321 - Acuicultura marítima</v>
          </cell>
          <cell r="J37" t="str">
            <v>AMBALEMA-TOLIMA</v>
          </cell>
          <cell r="P37" t="str">
            <v>127 - CABO VERDE</v>
          </cell>
        </row>
        <row r="38">
          <cell r="D38" t="str">
            <v>A0322 - Acuicultura de agua dulce</v>
          </cell>
          <cell r="J38" t="str">
            <v>ANAPOIMA-CUNDINAMARCA</v>
          </cell>
          <cell r="P38" t="str">
            <v>137 - CAIMAN - ISLAS</v>
          </cell>
        </row>
        <row r="39">
          <cell r="D39" t="str">
            <v>B0510 - Extracción de hulla (carbón de piedra)</v>
          </cell>
          <cell r="J39" t="str">
            <v>ANCUYA-NARINO</v>
          </cell>
          <cell r="P39" t="str">
            <v>141 - CAMBOYA (KAMPUCHEA)</v>
          </cell>
        </row>
        <row r="40">
          <cell r="D40" t="str">
            <v>B0520 - Extracción de carbón lignito</v>
          </cell>
          <cell r="J40" t="str">
            <v>ANDALUCIA-VALLE</v>
          </cell>
          <cell r="P40" t="str">
            <v>145 - CAMERUN - REPUBLICA UNIDA DEL</v>
          </cell>
        </row>
        <row r="41">
          <cell r="D41" t="str">
            <v>B0610 - Extracción de petróleo crudo</v>
          </cell>
          <cell r="J41" t="str">
            <v>ANDES-ANTIOQUIA</v>
          </cell>
          <cell r="P41" t="str">
            <v>149 - CANADA</v>
          </cell>
        </row>
        <row r="42">
          <cell r="D42" t="str">
            <v>B0620 - Extracción de gas natural</v>
          </cell>
          <cell r="J42" t="str">
            <v>ANGELOPOLIS-ANTIOQUIA</v>
          </cell>
          <cell r="P42" t="str">
            <v>159 - SANTA SEDE</v>
          </cell>
        </row>
        <row r="43">
          <cell r="D43" t="str">
            <v>B0710 - Extracción de minerales de hierro</v>
          </cell>
          <cell r="J43" t="str">
            <v>ANGOSTURA-ANTIOQUIA</v>
          </cell>
          <cell r="P43" t="str">
            <v>165 - COCOS (KEELING) - ISLAS</v>
          </cell>
        </row>
        <row r="44">
          <cell r="D44" t="str">
            <v>B0721 - Extracción de minerales de uranio y de torio</v>
          </cell>
          <cell r="J44" t="str">
            <v>ANOLAIMA-CUNDINAMARCA</v>
          </cell>
          <cell r="P44" t="str">
            <v>169 - COLOMBIA</v>
          </cell>
        </row>
        <row r="45">
          <cell r="D45" t="str">
            <v>B0722 - Extracción de oro y otros metales preciosos</v>
          </cell>
          <cell r="J45" t="str">
            <v>ANORI-ANTIOQUIA</v>
          </cell>
          <cell r="P45" t="str">
            <v>173 - COMORAS</v>
          </cell>
        </row>
        <row r="46">
          <cell r="D46" t="str">
            <v>B0723 - Extracción de minerales de níquel</v>
          </cell>
          <cell r="J46" t="str">
            <v>ANSERMA-CALDAS</v>
          </cell>
          <cell r="P46" t="str">
            <v>177 - CONGO</v>
          </cell>
        </row>
        <row r="47">
          <cell r="D47" t="str">
            <v>B0729 - Extracción de otros minerales metalíferos no ferrosos n.c.p.</v>
          </cell>
          <cell r="J47" t="str">
            <v>ANSERMANUEVO-VALLE</v>
          </cell>
          <cell r="P47" t="str">
            <v>183 - COOK - ISLAS</v>
          </cell>
        </row>
        <row r="48">
          <cell r="D48" t="str">
            <v>B0811 - Extracción de piedra, arena, arcillas comunes, yeso y anhidrita</v>
          </cell>
          <cell r="J48" t="str">
            <v>ANTIOQUIA-ANTIOQUIA</v>
          </cell>
          <cell r="P48" t="str">
            <v>187 - COREA (NORTE) - REPUBLICA POPULAR DEMOCRATICA DE</v>
          </cell>
        </row>
        <row r="49">
          <cell r="D49" t="str">
            <v>B0812 - Extracción de arcillas de uso industrial, caliza, caolín y bentonitas</v>
          </cell>
          <cell r="J49" t="str">
            <v>ANZA-ANTIOQUIA</v>
          </cell>
          <cell r="P49" t="str">
            <v>190 - COREA (SUR) - REPUBLICA DE</v>
          </cell>
        </row>
        <row r="50">
          <cell r="D50" t="str">
            <v>B0820 - Extracción de esmeraldas, piedras preciosas y semipreciosas</v>
          </cell>
          <cell r="J50" t="str">
            <v>ANZOATEGUI-TOLIMA</v>
          </cell>
          <cell r="P50" t="str">
            <v>193 - COSTA DE MARFIL</v>
          </cell>
        </row>
        <row r="51">
          <cell r="D51" t="str">
            <v>B0891 - Extracción de minerales para la fabricación de abonos y productos químicos</v>
          </cell>
          <cell r="J51" t="str">
            <v>APARTADO-ANTIOQUIA</v>
          </cell>
          <cell r="P51" t="str">
            <v>196 - COSTA RICA</v>
          </cell>
        </row>
        <row r="52">
          <cell r="D52" t="str">
            <v>B0892 - Extracción de halita (sal)</v>
          </cell>
          <cell r="J52" t="str">
            <v>APIA-RISARALDA</v>
          </cell>
          <cell r="P52" t="str">
            <v>198 - CROACIA</v>
          </cell>
        </row>
        <row r="53">
          <cell r="D53" t="str">
            <v>B0899 - Extracción de otros minerales no metálicos n.c.p.</v>
          </cell>
          <cell r="J53" t="str">
            <v>APULO-CUNDINAMARCA</v>
          </cell>
          <cell r="P53" t="str">
            <v>199 - CUBA</v>
          </cell>
        </row>
        <row r="54">
          <cell r="D54" t="str">
            <v>B0910 - Actividades de apoyo para la extracción de petróleo y de gas natural</v>
          </cell>
          <cell r="J54" t="str">
            <v>AQUITANIA-BOYACA</v>
          </cell>
          <cell r="P54" t="str">
            <v>203 - CHAD</v>
          </cell>
        </row>
        <row r="55">
          <cell r="D55" t="str">
            <v>B0990 - Actividades de apoyo para otras actividades de explotación de minas y canteras</v>
          </cell>
          <cell r="J55" t="str">
            <v>ARACATACA-MAGDALENA</v>
          </cell>
          <cell r="P55" t="str">
            <v>211 - CHILE</v>
          </cell>
        </row>
        <row r="56">
          <cell r="D56" t="str">
            <v>C1011 - Procesamiento y conservación de carne y productos cárnicos</v>
          </cell>
          <cell r="J56" t="str">
            <v>ARANZAZU-CALDAS</v>
          </cell>
          <cell r="P56" t="str">
            <v>215 - CHINA</v>
          </cell>
        </row>
        <row r="57">
          <cell r="D57" t="str">
            <v>C1012 - Procesamiento y conservación de pescados, crustáceos y moluscos</v>
          </cell>
          <cell r="J57" t="str">
            <v>ARATOCA-SANTANDER</v>
          </cell>
          <cell r="P57" t="str">
            <v>218 - TAIWAN (FORMOSA)</v>
          </cell>
        </row>
        <row r="58">
          <cell r="D58" t="str">
            <v>C1020 - Procesamiento y conservación de frutas, legumbres, hortalizas y tubérculos</v>
          </cell>
          <cell r="J58" t="str">
            <v>ARAUCA-ARAUCA</v>
          </cell>
          <cell r="P58" t="str">
            <v>221 - CHIPRE</v>
          </cell>
        </row>
        <row r="59">
          <cell r="D59" t="str">
            <v>C1030 - Elaboración de aceites y grasas de origen vegetal y animal</v>
          </cell>
          <cell r="J59" t="str">
            <v>ARAUQUITA-ARAUCA</v>
          </cell>
          <cell r="P59" t="str">
            <v>229 - BENIN</v>
          </cell>
        </row>
        <row r="60">
          <cell r="D60" t="str">
            <v>C1040 - Elaboración de productos lácteos</v>
          </cell>
          <cell r="J60" t="str">
            <v>ARBELAEZ-CUNDINAMARCA</v>
          </cell>
          <cell r="P60" t="str">
            <v>232 - DINAMARCA</v>
          </cell>
        </row>
        <row r="61">
          <cell r="D61" t="str">
            <v>C1051 - Elaboración de productos de molinería</v>
          </cell>
          <cell r="J61" t="str">
            <v>ARBOLEDA-NARINO</v>
          </cell>
          <cell r="P61" t="str">
            <v>235 - DOMINICA</v>
          </cell>
        </row>
        <row r="62">
          <cell r="D62" t="str">
            <v>C1052 - Elaboración de almidones y productos derivados del almidón</v>
          </cell>
          <cell r="J62" t="str">
            <v>ARBOLEDAS-NORTE DE SANTANDER</v>
          </cell>
          <cell r="P62" t="str">
            <v>239 - ECUADOR</v>
          </cell>
        </row>
        <row r="63">
          <cell r="D63" t="str">
            <v>C1061 - Trilla de café</v>
          </cell>
          <cell r="J63" t="str">
            <v>ARBOLETES-ANTIOQUIA</v>
          </cell>
          <cell r="P63" t="str">
            <v>240 - EGIPTO</v>
          </cell>
        </row>
        <row r="64">
          <cell r="D64" t="str">
            <v>C1062 - Descafeinado, tostión y molienda del café</v>
          </cell>
          <cell r="J64" t="str">
            <v>ARCABUCO-BOYACA</v>
          </cell>
          <cell r="P64" t="str">
            <v>242 - EL SALVADOR</v>
          </cell>
        </row>
        <row r="65">
          <cell r="D65" t="str">
            <v>C1063 - Otros derivados del café</v>
          </cell>
          <cell r="J65" t="str">
            <v>ARENAL-BOLIVAR</v>
          </cell>
          <cell r="P65" t="str">
            <v>243 - ERITREA</v>
          </cell>
        </row>
        <row r="66">
          <cell r="D66" t="str">
            <v>C1071 - Elaboración y refinación de azúcar</v>
          </cell>
          <cell r="J66" t="str">
            <v>ARGELIA-ANTIOQUIA</v>
          </cell>
          <cell r="P66" t="str">
            <v>244 - EMIRATOS ARABES UNIDOS</v>
          </cell>
        </row>
        <row r="67">
          <cell r="D67" t="str">
            <v>C1072 - Elaboración de panela</v>
          </cell>
          <cell r="J67" t="str">
            <v>ARGELIA-CAUCA</v>
          </cell>
          <cell r="P67" t="str">
            <v>245 - ESPAÑA</v>
          </cell>
        </row>
        <row r="68">
          <cell r="D68" t="str">
            <v>C1081 - Elaboración de productos de panadería</v>
          </cell>
          <cell r="J68" t="str">
            <v>ARGELIA-VALLE</v>
          </cell>
          <cell r="P68" t="str">
            <v>246 - ESLOVAQUIA</v>
          </cell>
        </row>
        <row r="69">
          <cell r="D69" t="str">
            <v>C1082 - Elaboración de cacao, chocolate y productos de confitería</v>
          </cell>
          <cell r="J69" t="str">
            <v>ARIGUANI-MAGDALENA</v>
          </cell>
          <cell r="P69" t="str">
            <v>247 - ESLOVENIA</v>
          </cell>
        </row>
        <row r="70">
          <cell r="D70" t="str">
            <v>C1083 - Elaboración de macarrones, fideos, alcuzcuz y productos farináceos similares</v>
          </cell>
          <cell r="J70" t="str">
            <v>ARJONA-BOLIVAR</v>
          </cell>
          <cell r="P70" t="str">
            <v>249 - ESTADOS UNIDOS</v>
          </cell>
        </row>
        <row r="71">
          <cell r="D71" t="str">
            <v>C1084 - Elaboración de comidas y platos preparados</v>
          </cell>
          <cell r="J71" t="str">
            <v>ARMENIA-ANTIOQUIA</v>
          </cell>
          <cell r="P71" t="str">
            <v>251- ESTONIA</v>
          </cell>
        </row>
        <row r="72">
          <cell r="D72" t="str">
            <v>C1089 - Elaboración de otros productos alimenticios n.c.p.</v>
          </cell>
          <cell r="J72" t="str">
            <v>ARMENIA-QUINDIO</v>
          </cell>
          <cell r="P72" t="str">
            <v>253 - ETIOPIA</v>
          </cell>
        </row>
        <row r="73">
          <cell r="D73" t="str">
            <v>C1090 - Elaboración de alimentos preparados para animales</v>
          </cell>
          <cell r="J73" t="str">
            <v>ARMERO-TOLIMA</v>
          </cell>
          <cell r="P73" t="str">
            <v>259 - FEROE - ISLAS</v>
          </cell>
        </row>
        <row r="74">
          <cell r="D74" t="str">
            <v>C1101 - Destilación, rectificación y mezcla de bebidas alcohólicas</v>
          </cell>
          <cell r="J74" t="str">
            <v>ARROYOHONDO-BOLIVAR</v>
          </cell>
          <cell r="P74" t="str">
            <v>267 - FILIPINAS</v>
          </cell>
        </row>
        <row r="75">
          <cell r="D75" t="str">
            <v>C1102 - Elaboración de bebidas fermentadas no destiladas</v>
          </cell>
          <cell r="J75" t="str">
            <v>ASTREA-CESAR</v>
          </cell>
          <cell r="P75" t="str">
            <v>271 - FINLANDIA</v>
          </cell>
        </row>
        <row r="76">
          <cell r="D76" t="str">
            <v>C1103 - Producción de malta, elaboración de cervezas y otras bebidas malteadas</v>
          </cell>
          <cell r="J76" t="str">
            <v>ATACO-TOLIMA</v>
          </cell>
          <cell r="P76" t="str">
            <v>275 - FRANCIA</v>
          </cell>
        </row>
        <row r="77">
          <cell r="D77" t="str">
            <v>C1104 - Elaboración de bebidas no alcohólicas, producción de aguas minerales y de otras aguas embotelladas</v>
          </cell>
          <cell r="J77" t="str">
            <v>ATRATO-CHOCO</v>
          </cell>
          <cell r="P77" t="str">
            <v>281 - GABON</v>
          </cell>
        </row>
        <row r="78">
          <cell r="D78" t="str">
            <v>C1200 - Elaboración de productos de tabaco</v>
          </cell>
          <cell r="J78" t="str">
            <v>AYAPEL-CORDOBA</v>
          </cell>
          <cell r="P78" t="str">
            <v>285 - GAMBIA</v>
          </cell>
        </row>
        <row r="79">
          <cell r="D79" t="str">
            <v>C1311 - Preparación e hilatura de fibras textiles</v>
          </cell>
          <cell r="J79" t="str">
            <v>BAGADO-CHOCO</v>
          </cell>
          <cell r="P79" t="str">
            <v>287 - GEORGIA</v>
          </cell>
        </row>
        <row r="80">
          <cell r="D80" t="str">
            <v>C1312 - Tejeduría de productos textiles</v>
          </cell>
          <cell r="J80" t="str">
            <v>BAHIA-SOLANO-CHOCO</v>
          </cell>
          <cell r="P80" t="str">
            <v>289 - GHANA</v>
          </cell>
        </row>
        <row r="81">
          <cell r="D81" t="str">
            <v>C1313 - Acabado de productos textiles</v>
          </cell>
          <cell r="J81" t="str">
            <v>BAJO-BAUDO-CHOCO</v>
          </cell>
          <cell r="P81" t="str">
            <v>293 - GIBRALTAR</v>
          </cell>
        </row>
        <row r="82">
          <cell r="D82" t="str">
            <v>C1391 - Fabricación de tejidos de punto y ganchillo</v>
          </cell>
          <cell r="J82" t="str">
            <v>BALBOA-CAUCA</v>
          </cell>
          <cell r="P82" t="str">
            <v>297 - GRANADA</v>
          </cell>
        </row>
        <row r="83">
          <cell r="D83" t="str">
            <v>C1392 - Confección de artículos con materiales textiles, excepto prendas de vestir</v>
          </cell>
          <cell r="J83" t="str">
            <v>BALBOA-RISARALDA</v>
          </cell>
          <cell r="P83" t="str">
            <v>301 - GRECIA</v>
          </cell>
        </row>
        <row r="84">
          <cell r="D84" t="str">
            <v>C1393 - Fabricación de tapetes y alfombras para pisos</v>
          </cell>
          <cell r="J84" t="str">
            <v>BARANOA-ATLANTICO</v>
          </cell>
          <cell r="P84" t="str">
            <v>305 - GROENLANDIA</v>
          </cell>
        </row>
        <row r="85">
          <cell r="D85" t="str">
            <v>C1394 - Fabricación de cuerdas, cordeles, cables, bramantes y redes</v>
          </cell>
          <cell r="J85" t="str">
            <v>BARAYA-HUILA</v>
          </cell>
          <cell r="P85" t="str">
            <v>309 - GUADALUPE</v>
          </cell>
        </row>
        <row r="86">
          <cell r="D86" t="str">
            <v>C1399 - Fabricación de otros artículos textiles n.c.p.</v>
          </cell>
          <cell r="J86" t="str">
            <v>BARBACOAS-NARINO</v>
          </cell>
          <cell r="P86" t="str">
            <v>313 - GUAM</v>
          </cell>
        </row>
        <row r="87">
          <cell r="D87" t="str">
            <v>C1410 - Confección de prendas de vestir, excepto prendas de piel</v>
          </cell>
          <cell r="J87" t="str">
            <v>BARBOSA-ANTIOQUIA</v>
          </cell>
          <cell r="P87" t="str">
            <v>317 - GUATEMALA</v>
          </cell>
        </row>
        <row r="88">
          <cell r="D88" t="str">
            <v>C1420 - Fabricación de artículos de piel</v>
          </cell>
          <cell r="J88" t="str">
            <v>BARBOSA-SANTANDER</v>
          </cell>
          <cell r="P88" t="str">
            <v>325 - GUAYANA FRANCESA</v>
          </cell>
        </row>
        <row r="89">
          <cell r="D89" t="str">
            <v>C1430 - Fabricación de artículos de punto y ganchillo</v>
          </cell>
          <cell r="J89" t="str">
            <v>BARICHARA-SANTANDER</v>
          </cell>
          <cell r="P89" t="str">
            <v>329 - GUINEA</v>
          </cell>
        </row>
        <row r="90">
          <cell r="D90" t="str">
            <v>C1511 - Curtido y recurtido de cueros; recurtido y teñido de pieles</v>
          </cell>
          <cell r="J90" t="str">
            <v>BARRANCA-DE-UPÍA-META</v>
          </cell>
          <cell r="P90" t="str">
            <v>331- GUINEA ECUATORIAL</v>
          </cell>
        </row>
        <row r="91">
          <cell r="D91" t="str">
            <v>C1512 - Fabricación de artículos de viaje, bolsos de mano y artículos similares elaborados en cuero, y fabricación de artículos de talabartería y guarnicionería</v>
          </cell>
          <cell r="J91" t="str">
            <v>BARRANCABERMEJA-SANTANDER</v>
          </cell>
          <cell r="P91" t="str">
            <v>334 - GUINEA</v>
          </cell>
        </row>
        <row r="92">
          <cell r="D92" t="str">
            <v>C1513 - Fabricación de artículos de viaje, bolsos de mano y artículos similares; artículos de talabartería y guarnicionería elaborados en otros materiales</v>
          </cell>
          <cell r="J92" t="str">
            <v>BARRANCAS-LA GUAJIRA</v>
          </cell>
          <cell r="P92" t="str">
            <v>337 - GUYANA</v>
          </cell>
        </row>
        <row r="93">
          <cell r="D93" t="str">
            <v>C1521 - Fabricación de calzado de cuero y piel, con cualquier tipo de suela</v>
          </cell>
          <cell r="J93" t="str">
            <v>BARRANCO-DE-LOBA-BOLIVAR</v>
          </cell>
          <cell r="P93" t="str">
            <v>341 - HAITI</v>
          </cell>
        </row>
        <row r="94">
          <cell r="D94" t="str">
            <v>C1522 - Fabricación de otros tipos de calzado, excepto calzado de cuero y piel</v>
          </cell>
          <cell r="J94" t="str">
            <v>BARRANQUILLA-ATLANTICO</v>
          </cell>
          <cell r="P94" t="str">
            <v>345 - HONDURAS</v>
          </cell>
        </row>
        <row r="95">
          <cell r="D95" t="str">
            <v>C1523 - Fabricación de partes del calzado</v>
          </cell>
          <cell r="J95" t="str">
            <v>BECERRIL-CESAR</v>
          </cell>
          <cell r="P95" t="str">
            <v>351 - HONG KONG</v>
          </cell>
        </row>
        <row r="96">
          <cell r="D96" t="str">
            <v>C1610 - Aserrado, acepillado e impregnación de la madera</v>
          </cell>
          <cell r="J96" t="str">
            <v>BELALCAZAR-CALDAS</v>
          </cell>
          <cell r="P96" t="str">
            <v>355 - HUNGRIA</v>
          </cell>
        </row>
        <row r="97">
          <cell r="D97" t="str">
            <v>C1620 - Fabricación de hojas de madera para enchapado; fabricación de tableros contrachapados, tableros laminados, tableros de partículas y otros tableros y paneles</v>
          </cell>
          <cell r="J97" t="str">
            <v>BELEN-BOYACA</v>
          </cell>
          <cell r="P97" t="str">
            <v>361 - INDIA</v>
          </cell>
        </row>
        <row r="98">
          <cell r="D98" t="str">
            <v>C1630 - Fabricación de partes y piezas de madera, de carpintería y ebanistería para la construcción</v>
          </cell>
          <cell r="J98" t="str">
            <v>BELEN-DE-LOS-ANDAQUIES-CAQUETA</v>
          </cell>
          <cell r="P98" t="str">
            <v>365 - INDONESIA</v>
          </cell>
        </row>
        <row r="99">
          <cell r="D99" t="str">
            <v>C1640 - Fabricación de recipientes de madera</v>
          </cell>
          <cell r="J99" t="str">
            <v>BELEN-DE-UMBRIA-RISARALDA</v>
          </cell>
          <cell r="P99" t="str">
            <v>369 - IRAK</v>
          </cell>
        </row>
        <row r="100">
          <cell r="D100" t="str">
            <v>C1690 - Fabricación de otros productos de madera; fabricación de artículos de corcho, cestería y espartería</v>
          </cell>
          <cell r="J100" t="str">
            <v>BELEN-NARINO</v>
          </cell>
          <cell r="P100" t="str">
            <v>372 - IRAN - REPUBLICA ISLAMICA DEL</v>
          </cell>
        </row>
        <row r="101">
          <cell r="D101" t="str">
            <v>C1701 - Fabricación de pulpas (pastas) celulósicas; papel y cartón</v>
          </cell>
          <cell r="J101" t="str">
            <v>BELLO-ANTIOQUIA</v>
          </cell>
          <cell r="P101" t="str">
            <v>375 - IRLANDA (EIRE)</v>
          </cell>
        </row>
        <row r="102">
          <cell r="D102" t="str">
            <v>C1702 - Fabricación de papel y cartón ondulado (corrugado); fabricación de envases, empaques y de embalajes de papel y cartón</v>
          </cell>
          <cell r="J102" t="str">
            <v>BELMIRA-ANTIOQUIA</v>
          </cell>
          <cell r="P102" t="str">
            <v>379 - ISLANDIA</v>
          </cell>
        </row>
        <row r="103">
          <cell r="D103" t="str">
            <v>C1709 - Fabricación de otros artículos de papel y cartón</v>
          </cell>
          <cell r="J103" t="str">
            <v>BELTRAN-CUNDINAMARCA</v>
          </cell>
          <cell r="P103" t="str">
            <v>383 - ISRAEL</v>
          </cell>
        </row>
        <row r="104">
          <cell r="D104" t="str">
            <v>C1811 - Actividades de impresión</v>
          </cell>
          <cell r="J104" t="str">
            <v>BELÉN-DE-BAJIRÁ-CHOCO</v>
          </cell>
          <cell r="P104" t="str">
            <v>386 - ITALIA</v>
          </cell>
        </row>
        <row r="105">
          <cell r="D105" t="str">
            <v>C1812 - Actividades de servicios relacionados con la impresión</v>
          </cell>
          <cell r="J105" t="str">
            <v>BERBEO-BOYACA</v>
          </cell>
          <cell r="P105" t="str">
            <v>391 - JAMAICA</v>
          </cell>
        </row>
        <row r="106">
          <cell r="D106" t="str">
            <v>C1820 - Producción de copias a partir de grabaciones originales</v>
          </cell>
          <cell r="J106" t="str">
            <v>BETANIA-ANTIOQUIA</v>
          </cell>
          <cell r="P106" t="str">
            <v>399 - JAPON</v>
          </cell>
        </row>
        <row r="107">
          <cell r="D107" t="str">
            <v>C1910 - Fabricación de productos de hornos de coque</v>
          </cell>
          <cell r="J107" t="str">
            <v>BETEITIVA-BOYACA</v>
          </cell>
          <cell r="P107" t="str">
            <v>403 - JORDANIA</v>
          </cell>
        </row>
        <row r="108">
          <cell r="D108" t="str">
            <v>C1921 - Fabricación de productos de la refinación del petróleo</v>
          </cell>
          <cell r="J108" t="str">
            <v>BETULIA-ANTIOQUIA</v>
          </cell>
          <cell r="P108" t="str">
            <v>406 - KAZAJSTAN</v>
          </cell>
        </row>
        <row r="109">
          <cell r="D109" t="str">
            <v>C1922 - Actividad de mezcla de combustibles</v>
          </cell>
          <cell r="J109" t="str">
            <v>BETULIA-SANTANDER</v>
          </cell>
          <cell r="P109" t="str">
            <v>410 - KENIA</v>
          </cell>
        </row>
        <row r="110">
          <cell r="D110" t="str">
            <v>C2011 - Fabricación de sustancias y productos químicos básicos</v>
          </cell>
          <cell r="J110" t="str">
            <v>BITUIMA-CUNDINAMARCA</v>
          </cell>
          <cell r="P110" t="str">
            <v>411 - KIRIBATI</v>
          </cell>
        </row>
        <row r="111">
          <cell r="D111" t="str">
            <v>C2012 - Fabricación de abonos y compuestos inorgánicos nitrogenados</v>
          </cell>
          <cell r="J111" t="str">
            <v>BOAVITA-BOYACA</v>
          </cell>
          <cell r="P111" t="str">
            <v>412 - KIRGUIZISTAN</v>
          </cell>
        </row>
        <row r="112">
          <cell r="D112" t="str">
            <v>C2013 - Fabricación de plásticos en formas primarias</v>
          </cell>
          <cell r="J112" t="str">
            <v>BOCHALEMA-NORTE DE SANTANDER</v>
          </cell>
          <cell r="P112" t="str">
            <v>413 - KUWAIT</v>
          </cell>
        </row>
        <row r="113">
          <cell r="D113" t="str">
            <v>C2014 - Fabricación de caucho sintético en formas primarias</v>
          </cell>
          <cell r="J113" t="str">
            <v>BOGOTA-D.C.-BOGOTA D.C.</v>
          </cell>
          <cell r="P113" t="str">
            <v>420 - LAOS - REPUBLICA POPULAR DEMOCRATICA DE</v>
          </cell>
        </row>
        <row r="114">
          <cell r="D114" t="str">
            <v>C2021 - Fabricación de plaguicidas y otros productos químicos de uso agropecuario</v>
          </cell>
          <cell r="J114" t="str">
            <v>BOJACA-CUNDINAMARCA</v>
          </cell>
          <cell r="P114" t="str">
            <v>426 - LESOTHO</v>
          </cell>
        </row>
        <row r="115">
          <cell r="D115" t="str">
            <v>C2022 - Fabricación de pinturas, barnices y revestimientos similares, tintas para impresión y masillas</v>
          </cell>
          <cell r="J115" t="str">
            <v>BOJAYA-CHOCO</v>
          </cell>
          <cell r="P115" t="str">
            <v>429 - LETONIA</v>
          </cell>
        </row>
        <row r="116">
          <cell r="D116" t="str">
            <v>C2023 - Fabricación de jabones y detergentes, preparados para limpiar y pulir; perfumes y preparados de tocador</v>
          </cell>
          <cell r="J116" t="str">
            <v>BOLIVAR-ANTIOQUIA</v>
          </cell>
          <cell r="P116" t="str">
            <v>431 - LIBANO</v>
          </cell>
        </row>
        <row r="117">
          <cell r="D117" t="str">
            <v>C2029 - Fabricación de otros productos químicos n.c.p.</v>
          </cell>
          <cell r="J117" t="str">
            <v>BOLIVAR-CAUCA</v>
          </cell>
          <cell r="P117" t="str">
            <v>434 - LIBERIA</v>
          </cell>
        </row>
        <row r="118">
          <cell r="D118" t="str">
            <v>C2030 - Fabricación de fibras sintéticas y artificiales</v>
          </cell>
          <cell r="J118" t="str">
            <v>BOLIVAR-SANTANDER</v>
          </cell>
          <cell r="P118" t="str">
            <v>438 - LIBIA (INCLUYE FEZZAN)</v>
          </cell>
        </row>
        <row r="119">
          <cell r="D119" t="str">
            <v>C2100 - Fabricación de productos farmacéuticos, sustancias químicas medicinales y productos botánicos de uso farmacéutico</v>
          </cell>
          <cell r="J119" t="str">
            <v>BOLIVAR-VALLE</v>
          </cell>
          <cell r="P119" t="str">
            <v>440 - LIECHTENSTEIN</v>
          </cell>
        </row>
        <row r="120">
          <cell r="D120" t="str">
            <v>C2211 - Fabricación de llantas y neumáticos de caucho</v>
          </cell>
          <cell r="J120" t="str">
            <v>BOSA-BOGOTA D.C.</v>
          </cell>
          <cell r="P120" t="str">
            <v>443 - LITUANIA</v>
          </cell>
        </row>
        <row r="121">
          <cell r="D121" t="str">
            <v>C2212 - Reencauche de llantas usadas</v>
          </cell>
          <cell r="J121" t="str">
            <v>BOSCONIA-CESAR</v>
          </cell>
          <cell r="P121" t="str">
            <v>445 - LUXEMBURGO</v>
          </cell>
        </row>
        <row r="122">
          <cell r="D122" t="str">
            <v>C2219 - Fabricación de formas básicas de caucho y otros productos de caucho n.c.p.</v>
          </cell>
          <cell r="J122" t="str">
            <v>BOYACA-BOYACA</v>
          </cell>
          <cell r="P122" t="str">
            <v>447 - MACAO</v>
          </cell>
        </row>
        <row r="123">
          <cell r="D123" t="str">
            <v>C2221 - Fabricación de formas básicas de plástico</v>
          </cell>
          <cell r="J123" t="str">
            <v>BRICENO-ANTIOQUIA</v>
          </cell>
          <cell r="P123" t="str">
            <v>448 - MACEDONIA</v>
          </cell>
        </row>
        <row r="124">
          <cell r="D124" t="str">
            <v>C2229 - Fabricación de artículos de plástico n.c.p.</v>
          </cell>
          <cell r="J124" t="str">
            <v>BRICENO-BOYACA</v>
          </cell>
          <cell r="P124" t="str">
            <v>450 - MADAGASCAR</v>
          </cell>
        </row>
        <row r="125">
          <cell r="D125" t="str">
            <v>C2310 - Fabricación de vidrio y productos de vidrio</v>
          </cell>
          <cell r="J125" t="str">
            <v>BUCARAMANGA-SANTANDER</v>
          </cell>
          <cell r="P125" t="str">
            <v>455 - MALAYSIA</v>
          </cell>
        </row>
        <row r="126">
          <cell r="D126" t="str">
            <v>C2391 - Fabricación de productos refractarios</v>
          </cell>
          <cell r="J126" t="str">
            <v>BUCARASICA-NORTE DE SANTANDER</v>
          </cell>
          <cell r="P126" t="str">
            <v>458 - MALAWI</v>
          </cell>
        </row>
        <row r="127">
          <cell r="D127" t="str">
            <v>C2392 - Fabricación de materiales de arcilla para la construcción</v>
          </cell>
          <cell r="J127" t="str">
            <v>BUENAVENTURA-VALLE</v>
          </cell>
          <cell r="P127" t="str">
            <v>461 - MALDIVAS</v>
          </cell>
        </row>
        <row r="128">
          <cell r="D128" t="str">
            <v>C2393 - Fabricación de otros productos de cerámica y porcelana</v>
          </cell>
          <cell r="J128" t="str">
            <v>BUENAVISTA-BOYACA</v>
          </cell>
          <cell r="P128" t="str">
            <v>464 - MALI</v>
          </cell>
        </row>
        <row r="129">
          <cell r="D129" t="str">
            <v>C2394 - Fabricación de cemento, cal y yeso</v>
          </cell>
          <cell r="J129" t="str">
            <v>BUENAVISTA-CORDOBA</v>
          </cell>
          <cell r="P129" t="str">
            <v>467 - MALTA</v>
          </cell>
        </row>
        <row r="130">
          <cell r="D130" t="str">
            <v>C2395 - Fabricación de artículos de hormigón, cemento y yeso</v>
          </cell>
          <cell r="J130" t="str">
            <v>BUENAVISTA-QUINDIO</v>
          </cell>
          <cell r="P130" t="str">
            <v>469 - MARIANAS DEL NORTE - ISLAS</v>
          </cell>
        </row>
        <row r="131">
          <cell r="D131" t="str">
            <v>C2396 - Corte, tallado y acabado de la piedra</v>
          </cell>
          <cell r="J131" t="str">
            <v>BUENAVISTA-SUCRE</v>
          </cell>
          <cell r="P131" t="str">
            <v>472 - MARSHALL - ISLAS</v>
          </cell>
        </row>
        <row r="132">
          <cell r="D132" t="str">
            <v>C2399 - Fabricación de otros productos minerales no metálicos n.c.p.</v>
          </cell>
          <cell r="J132" t="str">
            <v>BUENOS-AIRES-CAUCA</v>
          </cell>
          <cell r="P132" t="str">
            <v>474 - MARRUECOS</v>
          </cell>
        </row>
        <row r="133">
          <cell r="D133" t="str">
            <v>C2410 - Industrias básicas de hierro y de acero</v>
          </cell>
          <cell r="J133" t="str">
            <v>BUESACO-NARINO</v>
          </cell>
          <cell r="P133" t="str">
            <v>477 - MARTINICA</v>
          </cell>
        </row>
        <row r="134">
          <cell r="D134" t="str">
            <v>C2421 - Industrias básicas de metales preciosos</v>
          </cell>
          <cell r="J134" t="str">
            <v>BUGA-VALLE</v>
          </cell>
          <cell r="P134" t="str">
            <v>485 - MAURICIO</v>
          </cell>
        </row>
        <row r="135">
          <cell r="D135" t="str">
            <v>C2429 - Industrias básicas de otros metales no ferrosos</v>
          </cell>
          <cell r="J135" t="str">
            <v>BUGALAGRANDE-VALLE</v>
          </cell>
          <cell r="P135" t="str">
            <v>488 - MAURITANIA</v>
          </cell>
        </row>
        <row r="136">
          <cell r="D136" t="str">
            <v>C2431 - Fundición de hierro y de acero</v>
          </cell>
          <cell r="J136" t="str">
            <v>BURITICA-ANTIOQUIA</v>
          </cell>
          <cell r="P136" t="str">
            <v>493 - MEXICO</v>
          </cell>
        </row>
        <row r="137">
          <cell r="D137" t="str">
            <v>C2432 - Fundición de metales no ferrosos</v>
          </cell>
          <cell r="J137" t="str">
            <v>BUSBANZA-BOYACA</v>
          </cell>
          <cell r="P137" t="str">
            <v>494 - MICRONESIA - ESTADOS FEDERADOS DE</v>
          </cell>
        </row>
        <row r="138">
          <cell r="D138" t="str">
            <v>C2511 - Fabricación de productos metálicos para uso estructural</v>
          </cell>
          <cell r="J138" t="str">
            <v>CABRERA-CUNDINAMARCA</v>
          </cell>
          <cell r="P138" t="str">
            <v>496 - MOLDAVIA</v>
          </cell>
        </row>
        <row r="139">
          <cell r="D139" t="str">
            <v>C2512 - Fabricación de tanques, depósitos y recipientes de metal, excepto los utilizados para el envase o transporte de mercancías</v>
          </cell>
          <cell r="J139" t="str">
            <v>CABRERA-SANTANDER</v>
          </cell>
          <cell r="P139" t="str">
            <v>497 - MONGOLIA</v>
          </cell>
        </row>
        <row r="140">
          <cell r="D140" t="str">
            <v>C2513 - Fabricación de generadores de vapor, excepto calderas de agua caliente para calefacción central</v>
          </cell>
          <cell r="J140" t="str">
            <v>CABUYARO-META</v>
          </cell>
          <cell r="P140" t="str">
            <v>498 -MONACO</v>
          </cell>
        </row>
        <row r="141">
          <cell r="D141" t="str">
            <v>C2520 - Fabricación de armas y municiones</v>
          </cell>
          <cell r="J141" t="str">
            <v>CACAHUAL-GUAINIA</v>
          </cell>
          <cell r="P141" t="str">
            <v>501 - MONSERRAT - ISLA</v>
          </cell>
        </row>
        <row r="142">
          <cell r="D142" t="str">
            <v>C2591 - Forja, prensado, estampado y laminado de metal; pulvimetalurgia</v>
          </cell>
          <cell r="J142" t="str">
            <v>CACERES-ANTIOQUIA</v>
          </cell>
          <cell r="P142" t="str">
            <v>505 - MOZAMBIQUE</v>
          </cell>
        </row>
        <row r="143">
          <cell r="D143" t="str">
            <v>C2592 - Tratamiento y revestimiento de metales; mecanizado</v>
          </cell>
          <cell r="J143" t="str">
            <v>CACHIPAY-CUNDINAMARCA</v>
          </cell>
          <cell r="P143" t="str">
            <v>507- NAMIBIA</v>
          </cell>
        </row>
        <row r="144">
          <cell r="D144" t="str">
            <v>C2593 - Fabricación de artículos de cuchillería, herramientas de mano y artículos de ferretería</v>
          </cell>
          <cell r="J144" t="str">
            <v>CACHIRA-NORTE DE SANTANDER</v>
          </cell>
          <cell r="P144" t="str">
            <v>508 - NAURU</v>
          </cell>
        </row>
        <row r="145">
          <cell r="D145" t="str">
            <v>C2599 - Fabricación de otros productos elaborados de metal n.c.p.</v>
          </cell>
          <cell r="J145" t="str">
            <v>CACOTA-NORTE DE SANTANDER</v>
          </cell>
          <cell r="P145" t="str">
            <v>511 - NAVIDAD (CHRISTMAS) - ISLAS</v>
          </cell>
        </row>
        <row r="146">
          <cell r="D146" t="str">
            <v>C2610 - Fabricación de componentes y tableros electrónicos</v>
          </cell>
          <cell r="J146" t="str">
            <v>CAICEDO-ANTIOQUIA</v>
          </cell>
          <cell r="P146" t="str">
            <v>517 - NEPAL</v>
          </cell>
        </row>
        <row r="147">
          <cell r="D147" t="str">
            <v>C2620 - Fabricación de computadoras y de equipo periférico</v>
          </cell>
          <cell r="J147" t="str">
            <v>CAICEDONIA-VALLE</v>
          </cell>
          <cell r="P147" t="str">
            <v>521 - NICARAGUA</v>
          </cell>
        </row>
        <row r="148">
          <cell r="D148" t="str">
            <v>C2630 - Fabricación de equipos de comunicación</v>
          </cell>
          <cell r="J148" t="str">
            <v>CAIMITO-SUCRE</v>
          </cell>
          <cell r="P148" t="str">
            <v>525 - NIGER</v>
          </cell>
        </row>
        <row r="149">
          <cell r="D149" t="str">
            <v>C2640 - Fabricación de aparatos electrónicos de consumo</v>
          </cell>
          <cell r="J149" t="str">
            <v>CAJAMARCA-TOLIMA</v>
          </cell>
          <cell r="P149" t="str">
            <v>528 - NIGERIA</v>
          </cell>
        </row>
        <row r="150">
          <cell r="D150" t="str">
            <v>C2651 - Fabricación de equipo de medición, prueba, navegación y control</v>
          </cell>
          <cell r="J150" t="str">
            <v>CAJIBIO-CAUCA</v>
          </cell>
          <cell r="P150" t="str">
            <v>531 - NIUE - ISLA</v>
          </cell>
        </row>
        <row r="151">
          <cell r="D151" t="str">
            <v>C2652 - Fabricación de relojes</v>
          </cell>
          <cell r="J151" t="str">
            <v>CAJICA-CUNDINAMARCA</v>
          </cell>
          <cell r="P151" t="str">
            <v>535 - NORFOLK - ISLA</v>
          </cell>
        </row>
        <row r="152">
          <cell r="D152" t="str">
            <v>C2660 - Fabricación de equipo de irradiación y equipo electrónico de uso médico y terapéutico</v>
          </cell>
          <cell r="J152" t="str">
            <v>CALAMAR-BOLIVAR</v>
          </cell>
          <cell r="P152" t="str">
            <v>538 - NORUEGA</v>
          </cell>
        </row>
        <row r="153">
          <cell r="D153" t="str">
            <v>C2670 - Fabricación de instrumentos ópticos y equipo fotográfico</v>
          </cell>
          <cell r="J153" t="str">
            <v>CALAMAR-GUAVIARE</v>
          </cell>
          <cell r="P153" t="str">
            <v>542 - NUEVA CALEDONIA</v>
          </cell>
        </row>
        <row r="154">
          <cell r="D154" t="str">
            <v>C2680 - Fabricación de medios magnéticos y ópticos para almacenamiento de datos</v>
          </cell>
          <cell r="J154" t="str">
            <v>CALARCA-QUINDIO</v>
          </cell>
          <cell r="P154" t="str">
            <v>545 - PAPUASIA NUEVA GUINEA</v>
          </cell>
        </row>
        <row r="155">
          <cell r="D155" t="str">
            <v>C2711 - Fabricación de motores, generadores y transformadores eléctricos</v>
          </cell>
          <cell r="J155" t="str">
            <v>CALDAS-ANTIOQUIA</v>
          </cell>
          <cell r="P155" t="str">
            <v>548 - NUEVA ZELANDIA</v>
          </cell>
        </row>
        <row r="156">
          <cell r="D156" t="str">
            <v>C2712 - Fabricación de aparatos de distribución y control de la energía eléctrica</v>
          </cell>
          <cell r="J156" t="str">
            <v>CALDAS-BOYACA</v>
          </cell>
          <cell r="P156" t="str">
            <v>551 - VANUATU</v>
          </cell>
        </row>
        <row r="157">
          <cell r="D157" t="str">
            <v>C2720 - Fabricación de pilas, baterías y acumuladores eléctricos</v>
          </cell>
          <cell r="J157" t="str">
            <v>CALDONO-CAUCA</v>
          </cell>
          <cell r="P157" t="str">
            <v>556 - OMAN</v>
          </cell>
        </row>
        <row r="158">
          <cell r="D158" t="str">
            <v>C2731 - Fabricación de hilos y cables eléctricos y de fibra óptica</v>
          </cell>
          <cell r="J158" t="str">
            <v>CALI-VALLE</v>
          </cell>
          <cell r="P158" t="str">
            <v>566 - PACIFICO - ISLAS (USA)</v>
          </cell>
        </row>
        <row r="159">
          <cell r="D159" t="str">
            <v>C2732 - Fabricación de dispositivos de cableado</v>
          </cell>
          <cell r="J159" t="str">
            <v>CALIFORNIA-SANTANDER</v>
          </cell>
          <cell r="P159" t="str">
            <v>573 - PAISES BAJOS (HOLANDA)</v>
          </cell>
        </row>
        <row r="160">
          <cell r="D160" t="str">
            <v>C2740 - Fabricación de equipos eléctricos de iluminación</v>
          </cell>
          <cell r="J160" t="str">
            <v>CALIMA-VALLE</v>
          </cell>
          <cell r="P160" t="str">
            <v>576 - PAKISTAN</v>
          </cell>
        </row>
        <row r="161">
          <cell r="D161" t="str">
            <v>C2750 - Fabricación de aparatos de uso doméstico</v>
          </cell>
          <cell r="J161" t="str">
            <v>CALOTO-CAUCA</v>
          </cell>
          <cell r="P161" t="str">
            <v>578 - PALAU - ISLAS</v>
          </cell>
        </row>
        <row r="162">
          <cell r="D162" t="str">
            <v>C2790 - Fabricación de otros tipos de equipo eléctrico n.c.p.</v>
          </cell>
          <cell r="J162" t="str">
            <v>CAMPAMENTO-ANTIOQUIA</v>
          </cell>
          <cell r="P162" t="str">
            <v>580 - PANAMA</v>
          </cell>
        </row>
        <row r="163">
          <cell r="D163" t="str">
            <v>C2811 - Fabricación de motores, turbinas, y partes para motores de combustión interna</v>
          </cell>
          <cell r="J163" t="str">
            <v>CAMPO-DE-LA-CRUZ-ATLANTICO</v>
          </cell>
          <cell r="P163" t="str">
            <v>586 - PARAGUAY</v>
          </cell>
        </row>
        <row r="164">
          <cell r="D164" t="str">
            <v>C2812 - Fabricación de equipos de potencia hidráulica y neumática</v>
          </cell>
          <cell r="J164" t="str">
            <v>CAMPOALEGRE-HUILA</v>
          </cell>
          <cell r="P164" t="str">
            <v>589 - PERU</v>
          </cell>
        </row>
        <row r="165">
          <cell r="D165" t="str">
            <v>C2813 - Fabricación de otras bombas, compresores, grifos y válvulas</v>
          </cell>
          <cell r="J165" t="str">
            <v>CAMPOHERMOSO-BOYACA</v>
          </cell>
          <cell r="P165" t="str">
            <v>593 - PITCAIRN - ISLA</v>
          </cell>
        </row>
        <row r="166">
          <cell r="D166" t="str">
            <v>C2814 - Fabricación de cojinetes, engranajes, trenes de engranajes y piezas de transmisión</v>
          </cell>
          <cell r="J166" t="str">
            <v>CANALETE-CORDOBA</v>
          </cell>
          <cell r="P166" t="str">
            <v>599 - POLINESIA FRANCESA</v>
          </cell>
        </row>
        <row r="167">
          <cell r="D167" t="str">
            <v>C2815 - Fabricación de hornos, hogares y quemadores industriales</v>
          </cell>
          <cell r="J167" t="str">
            <v>CANASGORDAS-ANTIOQUIA</v>
          </cell>
          <cell r="P167" t="str">
            <v>603 - POLONIA</v>
          </cell>
        </row>
        <row r="168">
          <cell r="D168" t="str">
            <v>C2816 - Fabricación de equipo de elevación y manipulación</v>
          </cell>
          <cell r="J168" t="str">
            <v>CANDELARIA-ATLANTICO</v>
          </cell>
          <cell r="P168" t="str">
            <v>607 - PORTUGAL</v>
          </cell>
        </row>
        <row r="169">
          <cell r="D169" t="str">
            <v>C2817 - Fabricación de maquinaria y equipo de oficina (excepto computadoras y equipo periférico)</v>
          </cell>
          <cell r="J169" t="str">
            <v>CANDELARIA-VALLE</v>
          </cell>
          <cell r="P169" t="str">
            <v>611 - PUERTO RICO</v>
          </cell>
        </row>
        <row r="170">
          <cell r="D170" t="str">
            <v>C2818 - Fabricación de herramientas manuales con motor</v>
          </cell>
          <cell r="J170" t="str">
            <v>CANTAGALLO-BOLIVAR</v>
          </cell>
          <cell r="P170" t="str">
            <v>618 - QATAR</v>
          </cell>
        </row>
        <row r="171">
          <cell r="D171" t="str">
            <v>C2819 - Fabricación de otros tipos de maquinaria y equipo de uso general n.c.p.</v>
          </cell>
          <cell r="J171" t="str">
            <v>CAPARRAPI-CUNDINAMARCA</v>
          </cell>
          <cell r="P171" t="str">
            <v>628 - REINO UNIDO</v>
          </cell>
        </row>
        <row r="172">
          <cell r="D172" t="str">
            <v>C2821 - Fabricación de maquinaria agropecuaria y forestal</v>
          </cell>
          <cell r="J172" t="str">
            <v>CAPITANEJO-SANTANDER</v>
          </cell>
          <cell r="P172" t="str">
            <v>640 - REPUBLICA CENTROAFRICANA</v>
          </cell>
        </row>
        <row r="173">
          <cell r="D173" t="str">
            <v>C2822 - Fabricación de máquinas formadoras de metal y de máquinas herramienta</v>
          </cell>
          <cell r="J173" t="str">
            <v>CAQUEZA-CUNDINAMARCA</v>
          </cell>
          <cell r="P173" t="str">
            <v>644 - REPUBLICA CHECA</v>
          </cell>
        </row>
        <row r="174">
          <cell r="D174" t="str">
            <v>C2823 - Fabricación de maquinaria para la metalurgia</v>
          </cell>
          <cell r="J174" t="str">
            <v>CARACOLI-ANTIOQUIA</v>
          </cell>
          <cell r="P174" t="str">
            <v>647 - REPUBLICA DOMINICANA</v>
          </cell>
        </row>
        <row r="175">
          <cell r="D175" t="str">
            <v>C2824 - Fabricación de maquinaria para explotación de minas y canteras y para obras de construcción</v>
          </cell>
          <cell r="J175" t="str">
            <v>CARAMANTA-ANTIOQUIA</v>
          </cell>
          <cell r="P175" t="str">
            <v>660 - REUNION</v>
          </cell>
        </row>
        <row r="176">
          <cell r="D176" t="str">
            <v>C2825 - Fabricación de maquinaria para la elaboración de alimentos, bebidas y tabaco</v>
          </cell>
          <cell r="J176" t="str">
            <v>CARCASI-SANTANDER</v>
          </cell>
          <cell r="P176" t="str">
            <v>665 - ZIMBABWE</v>
          </cell>
        </row>
        <row r="177">
          <cell r="D177" t="str">
            <v>C2826 - Fabricación de maquinaria para la elaboración de productos textiles, prendas de vestir y cueros</v>
          </cell>
          <cell r="J177" t="str">
            <v>CAREPA-ANTIOQUIA</v>
          </cell>
          <cell r="P177" t="str">
            <v>670 - RUMANIA</v>
          </cell>
        </row>
        <row r="178">
          <cell r="D178" t="str">
            <v>C2829 - Fabricación de otros tipos de maquinaria y equipo de uso especial n.c.p.</v>
          </cell>
          <cell r="J178" t="str">
            <v>CARMEN-DE-APICALA-TOLIMA</v>
          </cell>
          <cell r="P178" t="str">
            <v>675 - RUANDA</v>
          </cell>
        </row>
        <row r="179">
          <cell r="D179" t="str">
            <v>C2910 - Fabricación de vehículos automotores y sus motores</v>
          </cell>
          <cell r="J179" t="str">
            <v>CARMEN-DE-BOLIVAR-BOLIVAR</v>
          </cell>
          <cell r="P179" t="str">
            <v>676 - RUSIA</v>
          </cell>
        </row>
        <row r="180">
          <cell r="D180" t="str">
            <v>C2920 - Fabricación de carrocerías para vehículos automotores; fabricación de remolques y semirremolques</v>
          </cell>
          <cell r="J180" t="str">
            <v>CARMEN-DE-CARUPA-CUNDINAMARCA</v>
          </cell>
          <cell r="P180" t="str">
            <v>677 - SALOMON - ISLAS</v>
          </cell>
        </row>
        <row r="181">
          <cell r="D181" t="str">
            <v>C2930 - Fabricación de partes, piezas (autopartes) y accesorios (lujos) para vehículos automotores</v>
          </cell>
          <cell r="J181" t="str">
            <v>CARMEN-DE-VIBORAL-ANTIOQUIA</v>
          </cell>
          <cell r="P181" t="str">
            <v>685 - SAHARA OCCIDENTAL</v>
          </cell>
        </row>
        <row r="182">
          <cell r="D182" t="str">
            <v>C3011 - Construcción de barcos y de estructuras flotantes</v>
          </cell>
          <cell r="J182" t="str">
            <v>CARMEN-DEL-DARIEN-CHOCO</v>
          </cell>
          <cell r="P182" t="str">
            <v>687 - SAMOA</v>
          </cell>
        </row>
        <row r="183">
          <cell r="D183" t="str">
            <v>C3012 - Construcción de embarcaciones de recreo y deporte</v>
          </cell>
          <cell r="J183" t="str">
            <v>CAROLINA-ANTIOQUIA</v>
          </cell>
          <cell r="P183" t="str">
            <v>690 - SAMOA NORTEAMERICANA</v>
          </cell>
        </row>
        <row r="184">
          <cell r="D184" t="str">
            <v>C3020 - Fabricación de locomotoras y de material rodante para ferrocarriles</v>
          </cell>
          <cell r="J184" t="str">
            <v>CARTAGENA-BOLIVAR</v>
          </cell>
          <cell r="P184" t="str">
            <v>695 - SAN CRISTOBAL Y NIEVES</v>
          </cell>
        </row>
        <row r="185">
          <cell r="D185" t="str">
            <v>C3030 - Fabricación de aeronaves, naves espaciales y de maquinaria conexa</v>
          </cell>
          <cell r="J185" t="str">
            <v>CARTAGENA-DEL-CHAIRA-CAQUETA</v>
          </cell>
          <cell r="P185" t="str">
            <v>697 - SAN MARINO</v>
          </cell>
        </row>
        <row r="186">
          <cell r="D186" t="str">
            <v>C3040 - Fabricación de vehículos militares de combate</v>
          </cell>
          <cell r="J186" t="str">
            <v>CARTAGO-VALLE</v>
          </cell>
          <cell r="P186" t="str">
            <v>700 - SAN PEDRO Y MIGUELON</v>
          </cell>
        </row>
        <row r="187">
          <cell r="D187" t="str">
            <v>C3091 - Fabricación de motocicletas</v>
          </cell>
          <cell r="J187" t="str">
            <v>CARURU-VAUPES</v>
          </cell>
          <cell r="P187" t="str">
            <v>705 - SAN VICENTE Y LAS GRANADINAS</v>
          </cell>
        </row>
        <row r="188">
          <cell r="D188" t="str">
            <v>C3092 - Fabricación de bicicletas y de sillas de ruedas para personas con discapacidad</v>
          </cell>
          <cell r="J188" t="str">
            <v>CASABIANCA-TOLIMA</v>
          </cell>
          <cell r="P188" t="str">
            <v>710 - SANTA ELENA</v>
          </cell>
        </row>
        <row r="189">
          <cell r="D189" t="str">
            <v>C3099 - Fabricación de otros tipos de equipo de transporte n.c.p.</v>
          </cell>
          <cell r="J189" t="str">
            <v>CASTILLA-LA-NUEVA-META</v>
          </cell>
          <cell r="P189" t="str">
            <v>715 - SANTA LUCIA</v>
          </cell>
        </row>
        <row r="190">
          <cell r="D190" t="str">
            <v>C3110 - Fabricación de muebles</v>
          </cell>
          <cell r="J190" t="str">
            <v>CAUCASIA-ANTIOQUIA</v>
          </cell>
          <cell r="P190" t="str">
            <v>720 - SANTO TOME Y PRINCIPE</v>
          </cell>
        </row>
        <row r="191">
          <cell r="D191" t="str">
            <v>C3120 - Fabricación de colchones y somieres</v>
          </cell>
          <cell r="J191" t="str">
            <v>CEPITA-SANTANDER</v>
          </cell>
          <cell r="P191" t="str">
            <v>728 - SENEGAL</v>
          </cell>
        </row>
        <row r="192">
          <cell r="D192" t="str">
            <v>C3210 - Fabricación de joyas, bisutería y artículos conexos</v>
          </cell>
          <cell r="J192" t="str">
            <v>CERETE-CORDOBA</v>
          </cell>
          <cell r="P192" t="str">
            <v>731 - SEYCHELLES</v>
          </cell>
        </row>
        <row r="193">
          <cell r="D193" t="str">
            <v>C3220 - Fabricación de instrumentos musicales</v>
          </cell>
          <cell r="J193" t="str">
            <v>CERINZA-BOYACA</v>
          </cell>
          <cell r="P193" t="str">
            <v>735 - SIERRA LEONA</v>
          </cell>
        </row>
        <row r="194">
          <cell r="D194" t="str">
            <v>C3230 - Fabricación de artículos y equipo para la práctica del deporte</v>
          </cell>
          <cell r="J194" t="str">
            <v>CERRITO-SANTANDER</v>
          </cell>
          <cell r="P194" t="str">
            <v>741- SINGAPUR</v>
          </cell>
        </row>
        <row r="195">
          <cell r="D195" t="str">
            <v>C3240 - Fabricación de juegos, juguetes y rompecabezas</v>
          </cell>
          <cell r="J195" t="str">
            <v>CERRO-DE-SAN-ANTONIO-MAGDALENA</v>
          </cell>
          <cell r="P195" t="str">
            <v>744 - SIRIA - REPUBLICA ARABE DE</v>
          </cell>
        </row>
        <row r="196">
          <cell r="D196" t="str">
            <v>C3250 - Fabricación de instrumentos, aparatos y materiales médicos y odontológicos (incluido mobiliario)</v>
          </cell>
          <cell r="J196" t="str">
            <v>CHACHAGÜÍ-NARINO</v>
          </cell>
          <cell r="P196" t="str">
            <v>748 - SOMALIA</v>
          </cell>
        </row>
        <row r="197">
          <cell r="D197" t="str">
            <v>C3290 - Otras industrias manufactureras n.c.p.</v>
          </cell>
          <cell r="J197" t="str">
            <v>CHAGUANI-CUNDINAMARCA</v>
          </cell>
          <cell r="P197" t="str">
            <v>750 - SRI LANKA</v>
          </cell>
        </row>
        <row r="198">
          <cell r="D198" t="str">
            <v>C3311 - Mantenimiento y reparación especializado de productos elaborados en metal</v>
          </cell>
          <cell r="J198" t="str">
            <v>CHALAN-SUCRE</v>
          </cell>
          <cell r="P198" t="str">
            <v>756 - SUDAFRICA - REPUBLICA DE</v>
          </cell>
        </row>
        <row r="199">
          <cell r="D199" t="str">
            <v>C3312 - Mantenimiento y reparación especializado de maquinaria y equipo</v>
          </cell>
          <cell r="J199" t="str">
            <v>CHAMEZA-CASANARE</v>
          </cell>
          <cell r="P199" t="str">
            <v>759 - SUDAN</v>
          </cell>
        </row>
        <row r="200">
          <cell r="D200" t="str">
            <v>C3313 - Mantenimiento y reparación especializado de equipo electrónico y óptico</v>
          </cell>
          <cell r="J200" t="str">
            <v>CHAPARRAL-TOLIMA</v>
          </cell>
          <cell r="P200" t="str">
            <v>764 - SUECIA</v>
          </cell>
        </row>
        <row r="201">
          <cell r="D201" t="str">
            <v>C3314 - Mantenimiento y reparación especializado de equipo eléctrico</v>
          </cell>
          <cell r="J201" t="str">
            <v>CHARALA-SANTANDER</v>
          </cell>
          <cell r="P201" t="str">
            <v>767 - SUIZA</v>
          </cell>
        </row>
        <row r="202">
          <cell r="D202" t="str">
            <v>C3315 - Mantenimiento y reparación especializado de equipo de transporte, excepto los vehículos automotores, motocicletas y bicicletas</v>
          </cell>
          <cell r="J202" t="str">
            <v>CHARTA-SANTANDER</v>
          </cell>
          <cell r="P202" t="str">
            <v>770 - SURINAM</v>
          </cell>
        </row>
        <row r="203">
          <cell r="D203" t="str">
            <v>C3319 - Mantenimiento y reparación de otros tipos de equipos y sus componentes n.c.p.</v>
          </cell>
          <cell r="J203" t="str">
            <v>CHIA-CUNDINAMARCA</v>
          </cell>
          <cell r="P203" t="str">
            <v>773 - SWAZILANDIA</v>
          </cell>
        </row>
        <row r="204">
          <cell r="D204" t="str">
            <v>C3320 - Instalación especializada de maquinaria y equipo industrial</v>
          </cell>
          <cell r="J204" t="str">
            <v>CHIGORODO-ANTIOQUIA</v>
          </cell>
          <cell r="P204" t="str">
            <v>774 - TADJIKISTAN</v>
          </cell>
        </row>
        <row r="205">
          <cell r="D205" t="str">
            <v>D3511 - Generación de energía eléctrica</v>
          </cell>
          <cell r="J205" t="str">
            <v>CHIMA-CORDOBA</v>
          </cell>
          <cell r="P205" t="str">
            <v>776 - TAILANDIA</v>
          </cell>
        </row>
        <row r="206">
          <cell r="D206" t="str">
            <v>D3512 - Transmisión de energía eléctrica</v>
          </cell>
          <cell r="J206" t="str">
            <v>CHIMA-SANTANDER</v>
          </cell>
          <cell r="P206" t="str">
            <v>780 - TANZANIA - REPUBLICA UNIDA DE</v>
          </cell>
        </row>
        <row r="207">
          <cell r="D207" t="str">
            <v>D3513 - Distribución de energía eléctrica</v>
          </cell>
          <cell r="J207" t="str">
            <v>CHIMICHAGUA-CESAR</v>
          </cell>
          <cell r="P207" t="str">
            <v>783- DJIBOUTI</v>
          </cell>
        </row>
        <row r="208">
          <cell r="D208" t="str">
            <v>D3514 - Comercialización de energía eléctrica</v>
          </cell>
          <cell r="J208" t="str">
            <v>CHINACOTA-NORTE DE SANTANDER</v>
          </cell>
          <cell r="P208" t="str">
            <v>787 - TERRITORIO BRITANICO DEL OCEANO INDICO</v>
          </cell>
        </row>
        <row r="209">
          <cell r="D209" t="str">
            <v>D3520 - Producción de gas; distribución de combustibles gaseosos por tuberías</v>
          </cell>
          <cell r="J209" t="str">
            <v>CHINAVITA-BOYACA</v>
          </cell>
          <cell r="P209" t="str">
            <v>788 - TIMOR DEL ESTE</v>
          </cell>
        </row>
        <row r="210">
          <cell r="D210" t="str">
            <v>D3530 - Suministro de vapor y aire acondicionado</v>
          </cell>
          <cell r="J210" t="str">
            <v>CHINCHINA-CALDAS</v>
          </cell>
          <cell r="P210" t="str">
            <v>800 - TOGO</v>
          </cell>
        </row>
        <row r="211">
          <cell r="D211" t="str">
            <v>E3600 - Captación, tratamiento y distribución de agua</v>
          </cell>
          <cell r="J211" t="str">
            <v>CHINU-CORDOBA</v>
          </cell>
          <cell r="P211" t="str">
            <v>805 - TOKELAU</v>
          </cell>
        </row>
        <row r="212">
          <cell r="D212" t="str">
            <v>E3700 - Evacuación y tratamiento de aguas residuales</v>
          </cell>
          <cell r="J212" t="str">
            <v>CHIPAQUE-CUNDINAMARCA</v>
          </cell>
          <cell r="P212" t="str">
            <v>810 - TONGA</v>
          </cell>
        </row>
        <row r="213">
          <cell r="D213" t="str">
            <v>E3811 - Recolección de desechos no peligrosos</v>
          </cell>
          <cell r="J213" t="str">
            <v>CHIPATA-SANTANDER</v>
          </cell>
          <cell r="P213" t="str">
            <v>815 - TRINIDAD Y TOBAGO</v>
          </cell>
        </row>
        <row r="214">
          <cell r="D214" t="str">
            <v>E3812 - Recolección de desechos peligrosos</v>
          </cell>
          <cell r="J214" t="str">
            <v>CHIQUINQUIRA-BOYACA</v>
          </cell>
          <cell r="P214" t="str">
            <v>820 - TUNICIA</v>
          </cell>
        </row>
        <row r="215">
          <cell r="D215" t="str">
            <v>E3821 - Tratamiento y disposición de desechos no peligrosos</v>
          </cell>
          <cell r="J215" t="str">
            <v>CHIQUIZA-BOYACA</v>
          </cell>
          <cell r="P215" t="str">
            <v>823 - TURCAS Y CAICOS - ISLAS</v>
          </cell>
        </row>
        <row r="216">
          <cell r="D216" t="str">
            <v>E3822 - Tratamiento y disposición de desechos peligrosos</v>
          </cell>
          <cell r="J216" t="str">
            <v>CHIRIGUANA-CESAR</v>
          </cell>
          <cell r="P216" t="str">
            <v>825 - TURKMENISTAN</v>
          </cell>
        </row>
        <row r="217">
          <cell r="D217" t="str">
            <v>E3830 - Recuperación de materiales</v>
          </cell>
          <cell r="J217" t="str">
            <v>CHISCAS-BOYACA</v>
          </cell>
          <cell r="P217" t="str">
            <v>827 - TURQUIA</v>
          </cell>
        </row>
        <row r="218">
          <cell r="D218" t="str">
            <v>E3900 - Actividades de saneamiento ambiental y otros servicios de gestión de desechos</v>
          </cell>
          <cell r="J218" t="str">
            <v>CHITA-BOYACA</v>
          </cell>
          <cell r="P218" t="str">
            <v>828 - TUVALU</v>
          </cell>
        </row>
        <row r="219">
          <cell r="D219" t="str">
            <v>F4111 - Construcción de edificios residenciales</v>
          </cell>
          <cell r="J219" t="str">
            <v>CHITAGA-NORTE DE SANTANDER</v>
          </cell>
          <cell r="P219" t="str">
            <v>830 - UCRANIA</v>
          </cell>
        </row>
        <row r="220">
          <cell r="D220" t="str">
            <v>F4112 - Construcción de edificios no residenciales</v>
          </cell>
          <cell r="J220" t="str">
            <v>CHITARAQUE-BOYACA</v>
          </cell>
          <cell r="P220" t="str">
            <v>833 - UGANDA</v>
          </cell>
        </row>
        <row r="221">
          <cell r="D221" t="str">
            <v>F4210 - Construcción de carreteras y vías de ferrocarril</v>
          </cell>
          <cell r="J221" t="str">
            <v>CHIVATA-BOYACA</v>
          </cell>
          <cell r="P221" t="str">
            <v>845 - URUGUAY</v>
          </cell>
        </row>
        <row r="222">
          <cell r="D222" t="str">
            <v>F4220 - Construcción de proyectos de servicio público</v>
          </cell>
          <cell r="J222" t="str">
            <v>CHIVOLO-MAGDALENA</v>
          </cell>
          <cell r="P222" t="str">
            <v>847 - UZBEKISTAN</v>
          </cell>
        </row>
        <row r="223">
          <cell r="D223" t="str">
            <v>F4290 - Construcción de otras obras de ingeniería civil</v>
          </cell>
          <cell r="J223" t="str">
            <v>CHIVOR-BOYACA</v>
          </cell>
          <cell r="P223" t="str">
            <v>850 - VENEZUELA</v>
          </cell>
        </row>
        <row r="224">
          <cell r="D224" t="str">
            <v>F4311 - Demolición</v>
          </cell>
          <cell r="J224" t="str">
            <v>CHOACHI-CUNDINAMARCA</v>
          </cell>
          <cell r="P224" t="str">
            <v>855 - VIET NAM</v>
          </cell>
        </row>
        <row r="225">
          <cell r="D225" t="str">
            <v>F4312 - Preparación del terreno</v>
          </cell>
          <cell r="J225" t="str">
            <v>CHOCONTA-CUNDINAMARCA</v>
          </cell>
          <cell r="P225" t="str">
            <v>863 - VIRGENES - ISLAS (BRITANICAS)</v>
          </cell>
        </row>
        <row r="226">
          <cell r="D226" t="str">
            <v>F4321 - Instalaciones eléctricas</v>
          </cell>
          <cell r="J226" t="str">
            <v>CICUCO-BOLIVAR</v>
          </cell>
          <cell r="P226" t="str">
            <v>866 - VIRGENES - ISLAS (NORTEAMERICANAS)</v>
          </cell>
        </row>
        <row r="227">
          <cell r="D227" t="str">
            <v>F4322 - Instalaciones de fontanería, calefacción y aire acondicionado</v>
          </cell>
          <cell r="J227" t="str">
            <v>CIENAGA-BOYACA</v>
          </cell>
          <cell r="P227" t="str">
            <v>870 - FIJI</v>
          </cell>
        </row>
        <row r="228">
          <cell r="D228" t="str">
            <v>F4329 - Otras instalaciones especializadas</v>
          </cell>
          <cell r="J228" t="str">
            <v>CIENAGA-DE-ORO-CORDOBA</v>
          </cell>
          <cell r="P228" t="str">
            <v>875 - WALLIS Y FORTUNA - ISLAS</v>
          </cell>
        </row>
        <row r="229">
          <cell r="D229" t="str">
            <v>F4330 - Terminación y acabado de edificios y obras de ingeniería civil</v>
          </cell>
          <cell r="J229" t="str">
            <v>CIENAGA-MAGDALENA</v>
          </cell>
          <cell r="P229" t="str">
            <v>880 - YEMEN</v>
          </cell>
        </row>
        <row r="230">
          <cell r="D230" t="str">
            <v>F4390 - Otras actividades especializadas para la construcción de edificios y obras de ingeniería civil</v>
          </cell>
          <cell r="J230" t="str">
            <v>CIMITARRA-SANTANDER</v>
          </cell>
          <cell r="P230" t="str">
            <v>885 - YUGOSLAVIA</v>
          </cell>
        </row>
        <row r="231">
          <cell r="D231" t="str">
            <v>G4511 - Comercio de vehículos automotores nuevos</v>
          </cell>
          <cell r="J231" t="str">
            <v>CIRCASIA-QUINDIO</v>
          </cell>
          <cell r="P231" t="str">
            <v>888 - ZAIRE</v>
          </cell>
        </row>
        <row r="232">
          <cell r="D232" t="str">
            <v>G4512 - Comercio de vehículos automotores usados</v>
          </cell>
          <cell r="J232" t="str">
            <v>CISNEROS-ANTIOQUIA</v>
          </cell>
          <cell r="P232" t="str">
            <v>890 - ZAMBIA</v>
          </cell>
        </row>
        <row r="233">
          <cell r="D233" t="str">
            <v>G4520 - Mantenimiento y reparación de vehículos automotores</v>
          </cell>
          <cell r="J233" t="str">
            <v>CLEMENCIA-BOLIVAR</v>
          </cell>
          <cell r="P233" t="str">
            <v>897 - ZONA NEUTRAL PALESTINA</v>
          </cell>
        </row>
        <row r="234">
          <cell r="D234" t="str">
            <v>G4530 - Comercio de partes, piezas (autopartes) y accesorios (lujos) para vehículos automotores</v>
          </cell>
          <cell r="J234" t="str">
            <v>COCORNA-ANTIOQUIA</v>
          </cell>
        </row>
        <row r="235">
          <cell r="D235" t="str">
            <v>G4541 - Comercio de motocicletas y de sus partes, piezas y accesorios</v>
          </cell>
          <cell r="J235" t="str">
            <v>COELLO-TOLIMA</v>
          </cell>
        </row>
        <row r="236">
          <cell r="D236" t="str">
            <v>G4542 - Mantenimiento y reparación de motocicletas y de sus partes y piezas</v>
          </cell>
          <cell r="J236" t="str">
            <v>COGUA-CUNDINAMARCA</v>
          </cell>
        </row>
        <row r="237">
          <cell r="D237" t="str">
            <v>G4610 - Comercio al por mayor a cambio de una retribución o por contrata</v>
          </cell>
          <cell r="J237" t="str">
            <v>COLOMBIA-HUILA</v>
          </cell>
        </row>
        <row r="238">
          <cell r="D238" t="str">
            <v>G4620 - Comercio al por mayor de materias primas agropecuarias; animales vivos</v>
          </cell>
          <cell r="J238" t="str">
            <v>COLON-NARINO</v>
          </cell>
        </row>
        <row r="239">
          <cell r="D239" t="str">
            <v>G4631 - Comercio al por mayor de productos alimenticios</v>
          </cell>
          <cell r="J239" t="str">
            <v>COLON-PUTUMAYO</v>
          </cell>
        </row>
        <row r="240">
          <cell r="D240" t="str">
            <v>G4632 - Comercio al por mayor de bebidas y tabaco</v>
          </cell>
          <cell r="J240" t="str">
            <v>COLOSO-SUCRE</v>
          </cell>
        </row>
        <row r="241">
          <cell r="D241" t="str">
            <v>G4641 - Comercio al por mayor de productos textiles, productos confeccionados para uso doméstico</v>
          </cell>
          <cell r="J241" t="str">
            <v>COMBITA-BOYACA</v>
          </cell>
        </row>
        <row r="242">
          <cell r="D242" t="str">
            <v>G4642 - Comercio al por mayor de prendas de vestir</v>
          </cell>
          <cell r="J242" t="str">
            <v>CONCEPCION-ANTIOQUIA</v>
          </cell>
        </row>
        <row r="243">
          <cell r="D243" t="str">
            <v>G4643 - Comercio al por mayor de calzado</v>
          </cell>
          <cell r="J243" t="str">
            <v>CONCEPCION-SANTANDER</v>
          </cell>
        </row>
        <row r="244">
          <cell r="D244" t="str">
            <v>G4644 - Comercio al por mayor de aparatos y equipo de uso doméstico</v>
          </cell>
          <cell r="J244" t="str">
            <v>CONCORDIA-ANTIOQUIA</v>
          </cell>
        </row>
        <row r="245">
          <cell r="D245" t="str">
            <v>G4645 - Comercio al por mayor de productos farmacéuticos, medicinales, cosméticos y de tocador</v>
          </cell>
          <cell r="J245" t="str">
            <v>CONCORDIA-MAGDALENA</v>
          </cell>
        </row>
        <row r="246">
          <cell r="D246" t="str">
            <v>G4649 - Comercio al por mayor de otros utensilios domésticos n.c.p.</v>
          </cell>
          <cell r="J246" t="str">
            <v>CONDOTO-CHOCO</v>
          </cell>
        </row>
        <row r="247">
          <cell r="D247" t="str">
            <v>G4651 - Comercio al por mayor de computadores, equipo periférico y programas de informática</v>
          </cell>
          <cell r="J247" t="str">
            <v>CONFINES-SANTANDER</v>
          </cell>
        </row>
        <row r="248">
          <cell r="D248" t="str">
            <v>G4652 - Comercio al por mayor de equipo, partes y piezas electrónicos y de telecomunicaciones</v>
          </cell>
          <cell r="J248" t="str">
            <v>CONSACA-NARINO</v>
          </cell>
        </row>
        <row r="249">
          <cell r="D249" t="str">
            <v>G4653 - Comercio al por mayor de maquinaria y equipo agropecuarios</v>
          </cell>
          <cell r="J249" t="str">
            <v>CONTADERO-NARINO</v>
          </cell>
        </row>
        <row r="250">
          <cell r="D250" t="str">
            <v>G4659 - Comercio al por mayor de otros tipos de maquinaria y equipo n.c.p.</v>
          </cell>
          <cell r="J250" t="str">
            <v>CONTRATACION-SANTANDER</v>
          </cell>
        </row>
        <row r="251">
          <cell r="D251" t="str">
            <v>G4661 - Comercio al por mayor de combustibles sólidos, líquidos, gaseosos y productos conexos</v>
          </cell>
          <cell r="J251" t="str">
            <v>CONVENCION-NORTE DE SANTANDER</v>
          </cell>
        </row>
        <row r="252">
          <cell r="D252" t="str">
            <v>G4662 - Comercio al por mayor de metales y productos metalíferos</v>
          </cell>
          <cell r="J252" t="str">
            <v>COPACABANA-ANTIOQUIA</v>
          </cell>
        </row>
        <row r="253">
          <cell r="D253" t="str">
            <v>G4663 - Comercio al por mayor de materiales de construcción, artículos de ferretería, pinturas, productos de vidrio, equipo y materiales de fontanería y calefacción</v>
          </cell>
          <cell r="J253" t="str">
            <v>COPER-BOYACA</v>
          </cell>
        </row>
        <row r="254">
          <cell r="D254" t="str">
            <v>G4664 - Comercio al por mayor de productos químicos básicos, cauchos y plásticos en formas primarias y productos químicos de uso agropecuario</v>
          </cell>
          <cell r="J254" t="str">
            <v>CORDOBA-BOLIVAR</v>
          </cell>
        </row>
        <row r="255">
          <cell r="D255" t="str">
            <v>G4665 - Comercio al por mayor de desperdicios, desechos y chatarra</v>
          </cell>
          <cell r="J255" t="str">
            <v>CORDOBA-NARINO</v>
          </cell>
        </row>
        <row r="256">
          <cell r="D256" t="str">
            <v>G4669 - Comercio al por mayor de otros productos n.c.p.</v>
          </cell>
          <cell r="J256" t="str">
            <v>CORDOBA-QUINDIO</v>
          </cell>
        </row>
        <row r="257">
          <cell r="D257" t="str">
            <v>G4690 - Comercio al por mayor no especializado</v>
          </cell>
          <cell r="J257" t="str">
            <v>CORINTO-CAUCA</v>
          </cell>
        </row>
        <row r="258">
          <cell r="D258" t="str">
            <v>G4711 - Comercio al por menor en establecimientos no especializados con surtido compuesto principalmente por alimentos, bebidas o tabaco</v>
          </cell>
          <cell r="J258" t="str">
            <v>COROMORO-SANTANDER</v>
          </cell>
        </row>
        <row r="259">
          <cell r="D259" t="str">
            <v>G4719 - Comercio al por menor en establecimientos no especializados, con surtido compuesto principalmente por productos diferentes de alimentos (víveres en general), bebidas y tabaco</v>
          </cell>
          <cell r="J259" t="str">
            <v>COROZAL-SUCRE</v>
          </cell>
        </row>
        <row r="260">
          <cell r="D260" t="str">
            <v>G4721 - Comercio al por menor de productos agrícolas para el consumo en establecimientos especializados</v>
          </cell>
          <cell r="J260" t="str">
            <v>CORRALES-BOYACA</v>
          </cell>
        </row>
        <row r="261">
          <cell r="D261" t="str">
            <v>G4722 - Comercio al por menor de leche, productos lácteos y huevos, en establecimientos especializados</v>
          </cell>
          <cell r="J261" t="str">
            <v>COTA-CUNDINAMARCA</v>
          </cell>
        </row>
        <row r="262">
          <cell r="D262" t="str">
            <v>G4723 - Comercio al por menor de carnes (incluye aves de corral), productos cárnicos, pescados y productos de mar, en establecimientos especializados</v>
          </cell>
          <cell r="J262" t="str">
            <v>COTORRA-CORDOBA</v>
          </cell>
        </row>
        <row r="263">
          <cell r="D263" t="str">
            <v>G4724 - Comercio al por menor de bebidas y productos del tabaco, en establecimientos especializados</v>
          </cell>
          <cell r="J263" t="str">
            <v>COVARACHIA-BOYACA</v>
          </cell>
        </row>
        <row r="264">
          <cell r="D264" t="str">
            <v>G4729 - Comercio al por menor de otros productos alimenticios n.c.p., en establecimientos especializados</v>
          </cell>
          <cell r="J264" t="str">
            <v>COVEÑAS-SUCRE</v>
          </cell>
        </row>
        <row r="265">
          <cell r="D265" t="str">
            <v>G4731 - Comercio al por menor de combustible para automotores</v>
          </cell>
          <cell r="J265" t="str">
            <v>COYAIMA-TOLIMA</v>
          </cell>
        </row>
        <row r="266">
          <cell r="D266" t="str">
            <v>G4732 - Comercio al por menor de lubricantes (aceites, grasas), aditivos y productos de limpieza para vehículos automotores</v>
          </cell>
          <cell r="J266" t="str">
            <v>CRAVO-NORTE-ARAUCA</v>
          </cell>
        </row>
        <row r="267">
          <cell r="D267" t="str">
            <v>G4741 - Comercio al por menor de computadores, equipos periféricos, programas de informática y equipos de telecomunicaciones en establecimientos especializados</v>
          </cell>
          <cell r="J267" t="str">
            <v>CUASPUD-NARINO</v>
          </cell>
        </row>
        <row r="268">
          <cell r="D268" t="str">
            <v>G4742 - Comercio al por menor de equipos y aparatos de sonido y de video, en establecimientos especializados</v>
          </cell>
          <cell r="J268" t="str">
            <v>CUBARA-BOYACA</v>
          </cell>
        </row>
        <row r="269">
          <cell r="D269" t="str">
            <v>G4751 - Comercio al por menor de productos textiles en establecimientos especializados</v>
          </cell>
          <cell r="J269" t="str">
            <v>CUBARRAL-META</v>
          </cell>
        </row>
        <row r="270">
          <cell r="D270" t="str">
            <v>G4752 - Comercio al por menor de artículos de ferretería, pinturas y productos de vidrio en establecimientos especializados</v>
          </cell>
          <cell r="J270" t="str">
            <v>CUCAITA-BOYACA</v>
          </cell>
        </row>
        <row r="271">
          <cell r="D271" t="str">
            <v>G4753 - Comercio al por menor de tapices, alfombras y cubrimientos para paredes y pisos en establecimientos especializados</v>
          </cell>
          <cell r="J271" t="str">
            <v>CUCUNUBA-CUNDINAMARCA</v>
          </cell>
        </row>
        <row r="272">
          <cell r="D272" t="str">
            <v>G4754 - Comercio al por menor de electrodomésticos y gasodomésticos de uso doméstico, muebles y equipos de iluminación</v>
          </cell>
          <cell r="J272" t="str">
            <v>CUCUTA-NORTE DE SANTANDER</v>
          </cell>
        </row>
        <row r="273">
          <cell r="D273" t="str">
            <v>G4755 - Comercio al por menor de artículos y utensilios de uso doméstico</v>
          </cell>
          <cell r="J273" t="str">
            <v>CUCUTILLA-NORTE DE SANTANDER</v>
          </cell>
        </row>
        <row r="274">
          <cell r="D274" t="str">
            <v>G4759 - Comercio al por menor de otros artículos domésticos en establecimientos especializados</v>
          </cell>
          <cell r="J274" t="str">
            <v>CUITIVA-BOYACA</v>
          </cell>
        </row>
        <row r="275">
          <cell r="D275" t="str">
            <v>G4761 - Comercio al por menor de libros, periódicos, materiales y artículos de papelería y escritorio, en establecimientos especializados</v>
          </cell>
          <cell r="J275" t="str">
            <v>CUMARAL-META</v>
          </cell>
        </row>
        <row r="276">
          <cell r="D276" t="str">
            <v>G4762 - Comercio al por menor de artículos deportivos, en establecimientos especializados</v>
          </cell>
          <cell r="J276" t="str">
            <v>CUMBAL-NARINO</v>
          </cell>
        </row>
        <row r="277">
          <cell r="D277" t="str">
            <v>G4769 - Comercio al por menor de otros artículos culturales y de entretenimiento n.c.p. en establecimientos especializados</v>
          </cell>
          <cell r="J277" t="str">
            <v>CUMBITARA-NARINO</v>
          </cell>
        </row>
        <row r="278">
          <cell r="D278" t="str">
            <v>G4771 - Comercio al por menor de prendas de vestir y sus accesorios (incluye artículos de piel) en establecimientos especializados</v>
          </cell>
          <cell r="J278" t="str">
            <v>CUNDAY-TOLIMA</v>
          </cell>
        </row>
        <row r="279">
          <cell r="D279" t="str">
            <v>G4772 - Comercio al por menor de todo tipo de calzado y artículos de cuero y sucedáneos del cuero en establecimientos especializados</v>
          </cell>
          <cell r="J279" t="str">
            <v>CURILLO-CAQUETA</v>
          </cell>
        </row>
        <row r="280">
          <cell r="D280" t="str">
            <v>G4773 - Comercio al por menor de productos farmacéuticos y medicinales, cosméticos y artículos de tocador en establecimientos especializados</v>
          </cell>
          <cell r="J280" t="str">
            <v>CURIMBAO-VICHADA</v>
          </cell>
        </row>
        <row r="281">
          <cell r="D281" t="str">
            <v>G4774 - Comercio al por menor de otros productos nuevos en establecimientos especializados</v>
          </cell>
          <cell r="J281" t="str">
            <v>CURITI-SANTANDER</v>
          </cell>
        </row>
        <row r="282">
          <cell r="D282" t="str">
            <v>G4775 - Comercio al por menor de artículos de segunda mano</v>
          </cell>
          <cell r="J282" t="str">
            <v>CURUMANI-CESAR</v>
          </cell>
        </row>
        <row r="283">
          <cell r="D283" t="str">
            <v>G4781 - Comercio al por menor de alimentos, bebidas y tabaco, en puestos de venta móviles</v>
          </cell>
          <cell r="J283" t="str">
            <v>CÉRTEGUI-CHOCO</v>
          </cell>
        </row>
        <row r="284">
          <cell r="D284" t="str">
            <v>G4782 - Comercio al por menor de productos textiles, prendas de vestir y calzado, en puestos de venta móviles</v>
          </cell>
          <cell r="J284" t="str">
            <v>DABEIBA-ANTIOQUIA</v>
          </cell>
        </row>
        <row r="285">
          <cell r="D285" t="str">
            <v>G4789 - Comercio al por menor de otros productos en puestos de venta móviles</v>
          </cell>
          <cell r="J285" t="str">
            <v>DAGUA-VALLE</v>
          </cell>
        </row>
        <row r="286">
          <cell r="D286" t="str">
            <v>G4791 - Comercio al por menor realizado a través de internet</v>
          </cell>
          <cell r="J286" t="str">
            <v>DIBULLA-LA GUAJIRA</v>
          </cell>
        </row>
        <row r="287">
          <cell r="D287" t="str">
            <v>G4792 - Comercio al por menor realizado a través de casas de venta o por correo</v>
          </cell>
          <cell r="J287" t="str">
            <v>DISTRACCION-LA GUAJIRA</v>
          </cell>
        </row>
        <row r="288">
          <cell r="D288" t="str">
            <v>G4799 - Otros tipos de comercio al por menor no realizado en establecimientos, puestos de venta o mercados</v>
          </cell>
          <cell r="J288" t="str">
            <v>DOLORES-TOLIMA</v>
          </cell>
        </row>
        <row r="289">
          <cell r="D289" t="str">
            <v>H4911 - Transporte férreo de pasajeros</v>
          </cell>
          <cell r="J289" t="str">
            <v>DON-MATIAS-ANTIOQUIA</v>
          </cell>
        </row>
        <row r="290">
          <cell r="D290" t="str">
            <v>H4912 - Transporte férreo de carga</v>
          </cell>
          <cell r="J290" t="str">
            <v>DOS-QUEBRADAS-RISARALDA</v>
          </cell>
        </row>
        <row r="291">
          <cell r="D291" t="str">
            <v>H4921 - Transporte de pasajeros</v>
          </cell>
          <cell r="J291" t="str">
            <v>DUITAMA-BOYACA</v>
          </cell>
        </row>
        <row r="292">
          <cell r="D292" t="str">
            <v>H4922 - Transporte mixto</v>
          </cell>
          <cell r="J292" t="str">
            <v>DURANIA-NORTE DE SANTANDER</v>
          </cell>
        </row>
        <row r="293">
          <cell r="D293" t="str">
            <v>H4923 - Transporte de carga por carretera</v>
          </cell>
          <cell r="J293" t="str">
            <v>EBEJICO-ANTIOQUIA</v>
          </cell>
        </row>
        <row r="294">
          <cell r="D294" t="str">
            <v>H4930 - Transporte por tuberías</v>
          </cell>
          <cell r="J294" t="str">
            <v>EL-AGUILA-VALLE</v>
          </cell>
        </row>
        <row r="295">
          <cell r="D295" t="str">
            <v>H5011 - Transporte de pasajeros marítimo y de cabotaje</v>
          </cell>
          <cell r="J295" t="str">
            <v>EL-BAGRE-ANTIOQUIA</v>
          </cell>
        </row>
        <row r="296">
          <cell r="D296" t="str">
            <v>H5012 - Transporte de carga marítimo y de cabotaje</v>
          </cell>
          <cell r="J296" t="str">
            <v>EL-BANCO-MAGDALENA</v>
          </cell>
        </row>
        <row r="297">
          <cell r="D297" t="str">
            <v>H5021 - Transporte fluvial de pasajeros</v>
          </cell>
          <cell r="J297" t="str">
            <v>EL-CAIRO-VALLE</v>
          </cell>
        </row>
        <row r="298">
          <cell r="D298" t="str">
            <v>H5022 - Transporte fluvial de carga</v>
          </cell>
          <cell r="J298" t="str">
            <v>EL-CALVARIO-META</v>
          </cell>
        </row>
        <row r="299">
          <cell r="D299" t="str">
            <v>H5111 - Transporte aéreo nacional de pasajeros</v>
          </cell>
          <cell r="J299" t="str">
            <v>EL-CANTÓN-DEL-SAN-PABLO-CHOCO</v>
          </cell>
        </row>
        <row r="300">
          <cell r="D300" t="str">
            <v>H5112 - Transporte aéreo internacional de pasajeros</v>
          </cell>
          <cell r="J300" t="str">
            <v>EL-CARMEN-CHOCO</v>
          </cell>
        </row>
        <row r="301">
          <cell r="D301" t="str">
            <v>H5121 - Transporte aéreo nacional de carga</v>
          </cell>
          <cell r="J301" t="str">
            <v>EL-CARMEN-NORTE DE SANTANDER</v>
          </cell>
        </row>
        <row r="302">
          <cell r="D302" t="str">
            <v>H5122 - Transporte aéreo internacional de carga</v>
          </cell>
          <cell r="J302" t="str">
            <v>EL-CARMEN-SANTANDER</v>
          </cell>
        </row>
        <row r="303">
          <cell r="D303" t="str">
            <v>H5210 - Almacenamiento y depósito</v>
          </cell>
          <cell r="J303" t="str">
            <v>EL-CASTILLO-META</v>
          </cell>
        </row>
        <row r="304">
          <cell r="D304" t="str">
            <v>H5221 - Actividades de estaciones, vías y servicios complementarios para el transporte terrestre</v>
          </cell>
          <cell r="J304" t="str">
            <v>EL-CERRITO-VALLE</v>
          </cell>
        </row>
        <row r="305">
          <cell r="D305" t="str">
            <v>H5222 - Actividades de puertos y servicios complementarios para el transporte acuático</v>
          </cell>
          <cell r="J305" t="str">
            <v>EL-CHARCO-NARINO</v>
          </cell>
        </row>
        <row r="306">
          <cell r="D306" t="str">
            <v>H5223 - Actividades de aeropuertos, servicios de navegación aérea y demás actividades conexas al transporte aéreo</v>
          </cell>
          <cell r="J306" t="str">
            <v>EL-COCUY-BOYACA</v>
          </cell>
        </row>
        <row r="307">
          <cell r="D307" t="str">
            <v>H5224 - Manipulación de carga</v>
          </cell>
          <cell r="J307" t="str">
            <v>EL-COLEGIO-CUNDINAMARCA</v>
          </cell>
        </row>
        <row r="308">
          <cell r="D308" t="str">
            <v>H5229 - Otras actividades complementarias al transporte</v>
          </cell>
          <cell r="J308" t="str">
            <v>EL-COPEY-CESAR</v>
          </cell>
        </row>
        <row r="309">
          <cell r="D309" t="str">
            <v>H5310 - Actividades postales nacionales</v>
          </cell>
          <cell r="J309" t="str">
            <v>EL-DONCELLO-CAQUETA</v>
          </cell>
        </row>
        <row r="310">
          <cell r="D310" t="str">
            <v>H5320 - Actividades de mensajería</v>
          </cell>
          <cell r="J310" t="str">
            <v>EL-DORADO-META</v>
          </cell>
        </row>
        <row r="311">
          <cell r="D311" t="str">
            <v>I5511 - Alojamiento en hoteles</v>
          </cell>
          <cell r="J311" t="str">
            <v>EL-DOVIO-VALLE</v>
          </cell>
        </row>
        <row r="312">
          <cell r="D312" t="str">
            <v>I5512 - Alojamiento en apartahoteles</v>
          </cell>
          <cell r="J312" t="str">
            <v>EL-ENCANTO-AMAZONAS</v>
          </cell>
        </row>
        <row r="313">
          <cell r="D313" t="str">
            <v>I5513 - Alojamiento en centros vacacionales</v>
          </cell>
          <cell r="J313" t="str">
            <v>EL-ESPINO-BOYACA</v>
          </cell>
        </row>
        <row r="314">
          <cell r="D314" t="str">
            <v>I5514 - Alojamiento rural</v>
          </cell>
          <cell r="J314" t="str">
            <v>EL-GUACAMAYO-SANTANDER</v>
          </cell>
        </row>
        <row r="315">
          <cell r="D315" t="str">
            <v>I5519 - Otros tipos de alojamientos para visitantes</v>
          </cell>
          <cell r="J315" t="str">
            <v>EL-GUAMO-BOLIVAR</v>
          </cell>
        </row>
        <row r="316">
          <cell r="D316" t="str">
            <v>I5520 - Actividades de zonas de camping y parques para vehículos recreacionales</v>
          </cell>
          <cell r="J316" t="str">
            <v>EL-LITORAL-DEL-SAN-JUAN-CHOCO</v>
          </cell>
        </row>
        <row r="317">
          <cell r="D317" t="str">
            <v>I5530 - Servicio por horas</v>
          </cell>
          <cell r="J317" t="str">
            <v>EL-MOLINO-LA GUAJIRA</v>
          </cell>
        </row>
        <row r="318">
          <cell r="D318" t="str">
            <v>I5590 - Otros tipos de alojamiento n.c.p.</v>
          </cell>
          <cell r="J318" t="str">
            <v>EL-PASO-CESAR</v>
          </cell>
        </row>
        <row r="319">
          <cell r="D319" t="str">
            <v>I5611 - Expendio a la mesa de comidas preparadas</v>
          </cell>
          <cell r="J319" t="str">
            <v>EL-PAUJIL-CAQUETA</v>
          </cell>
        </row>
        <row r="320">
          <cell r="D320" t="str">
            <v>I5612 - Expendio por autoservicio de comidas preparadas</v>
          </cell>
          <cell r="J320" t="str">
            <v>EL-PENON-CUNDINAMARCA</v>
          </cell>
        </row>
        <row r="321">
          <cell r="D321" t="str">
            <v>I5613 - Expendio de comidas preparadas en cafeterías</v>
          </cell>
          <cell r="J321" t="str">
            <v>EL-PEÑOL-NARINO</v>
          </cell>
        </row>
        <row r="322">
          <cell r="D322" t="str">
            <v>I5619 - Otros tipos de expendio de comidas preparadas n.c.p.</v>
          </cell>
          <cell r="J322" t="str">
            <v>EL-PEÑON-SANTANDER</v>
          </cell>
        </row>
        <row r="323">
          <cell r="D323" t="str">
            <v>I5621 - Catering para eventos</v>
          </cell>
          <cell r="J323" t="str">
            <v>EL-PEÑÓN-BOLIVAR</v>
          </cell>
        </row>
        <row r="324">
          <cell r="D324" t="str">
            <v>I5629 - Actividades de otros servicios de comidas</v>
          </cell>
          <cell r="J324" t="str">
            <v>EL-PINON-MAGDALENA</v>
          </cell>
        </row>
        <row r="325">
          <cell r="D325" t="str">
            <v>I5630 - Expendio de bebidas alcohólicas para el consumo dentro del establecimiento</v>
          </cell>
          <cell r="J325" t="str">
            <v>EL-PLAYON-SANTANDER</v>
          </cell>
        </row>
        <row r="326">
          <cell r="D326" t="str">
            <v>J5811 - Edición de libros</v>
          </cell>
          <cell r="J326" t="str">
            <v>EL-RETORNO-GUAVIARE</v>
          </cell>
        </row>
        <row r="327">
          <cell r="D327" t="str">
            <v>J5812 - Edición de directorios y listas de correo</v>
          </cell>
          <cell r="J327" t="str">
            <v>EL-RETÉN-MAGDALENA</v>
          </cell>
        </row>
        <row r="328">
          <cell r="D328" t="str">
            <v>J5813 - Edición de periódicos, revistas y otras publicaciones periódicas</v>
          </cell>
          <cell r="J328" t="str">
            <v>EL-ROBLE-SUCRE</v>
          </cell>
        </row>
        <row r="329">
          <cell r="D329" t="str">
            <v>J5819 - Otros trabajos de edición</v>
          </cell>
          <cell r="J329" t="str">
            <v>EL-ROSAL-CUNDINAMARCA</v>
          </cell>
        </row>
        <row r="330">
          <cell r="D330" t="str">
            <v>J5820 - Edición de programas de informática (software)</v>
          </cell>
          <cell r="J330" t="str">
            <v>EL-ROSARIO-NARINO</v>
          </cell>
        </row>
        <row r="331">
          <cell r="D331" t="str">
            <v>J5911 - Actividades de producción de películas cinematográficas, videos, programas, anuncios y comerciales de televisión</v>
          </cell>
          <cell r="J331" t="str">
            <v>EL-TABLON-NARINO</v>
          </cell>
        </row>
        <row r="332">
          <cell r="D332" t="str">
            <v>J5912 - Actividades de posproducción de películas cinematográficas, videos, programas, anuncios y comerciales de televisión</v>
          </cell>
          <cell r="J332" t="str">
            <v>EL-TAMBO-CAUCA</v>
          </cell>
        </row>
        <row r="333">
          <cell r="D333" t="str">
            <v>J5913 - Actividades de distribución de películas cinematográficas, videos, programas, anuncios y comerciales de televisión</v>
          </cell>
          <cell r="J333" t="str">
            <v>EL-TAMBO-NARINO</v>
          </cell>
        </row>
        <row r="334">
          <cell r="D334" t="str">
            <v>J5914 - Actividades de exhibición de películas cinematográficas y videos</v>
          </cell>
          <cell r="J334" t="str">
            <v>EL-TARRA-NORTE-NORTE DE SANTANDER</v>
          </cell>
        </row>
        <row r="335">
          <cell r="D335" t="str">
            <v>J5920 - Actividades de grabación de sonido y edición de música</v>
          </cell>
          <cell r="J335" t="str">
            <v>EL-ZULIA-NORTE DE SANTANDER</v>
          </cell>
        </row>
        <row r="336">
          <cell r="D336" t="str">
            <v>J6010 - Actividades de programación y transmisión en el servicio de radiodifusión sonora</v>
          </cell>
          <cell r="J336" t="str">
            <v>ELIAS-HUILA</v>
          </cell>
        </row>
        <row r="337">
          <cell r="D337" t="str">
            <v>J6020 - Actividades de programación y transmisión de televisión</v>
          </cell>
          <cell r="J337" t="str">
            <v>ENCINO-SANTANDER</v>
          </cell>
        </row>
        <row r="338">
          <cell r="D338" t="str">
            <v>J6110 - Actividades de telecomunicaciones alámbricas</v>
          </cell>
          <cell r="J338" t="str">
            <v>ENCISO-SANTANDER</v>
          </cell>
        </row>
        <row r="339">
          <cell r="D339" t="str">
            <v>J6120 - Actividades de telecomunicaciones inalámbricas</v>
          </cell>
          <cell r="J339" t="str">
            <v>ENGATIVA-BOGOTA D.C.</v>
          </cell>
        </row>
        <row r="340">
          <cell r="D340" t="str">
            <v>J6130 - Actividades de telecomunicación satelital</v>
          </cell>
          <cell r="J340" t="str">
            <v>ENTRERRIOS-ANTIOQUIA</v>
          </cell>
        </row>
        <row r="341">
          <cell r="D341" t="str">
            <v>J6190 - Otras actividades de telecomunicaciones</v>
          </cell>
          <cell r="J341" t="str">
            <v>ENVIGADO-ANTIOQUIA</v>
          </cell>
        </row>
        <row r="342">
          <cell r="D342" t="str">
            <v>J6201 - Actividades de desarrollo de sistemas informáticos (planificación, análisis, diseño, programación, pruebas)</v>
          </cell>
          <cell r="J342" t="str">
            <v>ESPINAL-TOLIMA</v>
          </cell>
        </row>
        <row r="343">
          <cell r="D343" t="str">
            <v>J6202 - Actividades de consultoría informática y actividades de administración de instalaciones informáticas</v>
          </cell>
          <cell r="J343" t="str">
            <v>FACATATIVA-CUNDINAMARCA</v>
          </cell>
        </row>
        <row r="344">
          <cell r="D344" t="str">
            <v>J6209 - Otras actividades de tecnologías de información y actividades de servicios informáticos</v>
          </cell>
          <cell r="J344" t="str">
            <v>FALAN-TOLIMA</v>
          </cell>
        </row>
        <row r="345">
          <cell r="D345" t="str">
            <v>J6311 - Procesamiento de datos, alojamiento (hosting) y actividades relacionadas</v>
          </cell>
          <cell r="J345" t="str">
            <v>FILADELFIA-CALDAS</v>
          </cell>
        </row>
        <row r="346">
          <cell r="D346" t="str">
            <v>J6312 - Portales web</v>
          </cell>
          <cell r="J346" t="str">
            <v>FILANDIA-QUINDIO</v>
          </cell>
        </row>
        <row r="347">
          <cell r="D347" t="str">
            <v>J6391 - Actividades de agencias de noticias</v>
          </cell>
          <cell r="J347" t="str">
            <v>FIRAVITOBA-BOYACA</v>
          </cell>
        </row>
        <row r="348">
          <cell r="D348" t="str">
            <v>J6399 - Otras actividades de servicio de información n.c.p.</v>
          </cell>
          <cell r="J348" t="str">
            <v>FLANDES-TOLIMA</v>
          </cell>
        </row>
        <row r="349">
          <cell r="D349" t="str">
            <v>K6411 - Banco Central</v>
          </cell>
          <cell r="J349" t="str">
            <v>FLORENCIA-CAQUETA</v>
          </cell>
        </row>
        <row r="350">
          <cell r="D350" t="str">
            <v>K6412 - Bancos comerciales</v>
          </cell>
          <cell r="J350" t="str">
            <v>FLORENCIA-CAUCA</v>
          </cell>
        </row>
        <row r="351">
          <cell r="D351" t="str">
            <v>K6421 - Actividades de las corporaciones financieras</v>
          </cell>
          <cell r="J351" t="str">
            <v>FLORESTA-BOYACA</v>
          </cell>
        </row>
        <row r="352">
          <cell r="D352" t="str">
            <v>K6422 - Actividades de las compañías de financiamiento</v>
          </cell>
          <cell r="J352" t="str">
            <v>FLORIAN-SANTANDER</v>
          </cell>
        </row>
        <row r="353">
          <cell r="D353" t="str">
            <v>K6423 - Banca de segundo piso</v>
          </cell>
          <cell r="J353" t="str">
            <v>FLORIDA-VALLE</v>
          </cell>
        </row>
        <row r="354">
          <cell r="D354" t="str">
            <v>K6424 - Actividades de las cooperativas financieras</v>
          </cell>
          <cell r="J354" t="str">
            <v>FLORIDABLANCA-SANTANDER</v>
          </cell>
        </row>
        <row r="355">
          <cell r="D355" t="str">
            <v>K6431 - Fideicomisos, fondos y entidades financieras similares</v>
          </cell>
          <cell r="J355" t="str">
            <v>FOMEQUE-CUNDINAMARCA</v>
          </cell>
        </row>
        <row r="356">
          <cell r="D356" t="str">
            <v>K6432 - Fondos de cesantías</v>
          </cell>
          <cell r="J356" t="str">
            <v>FONSECA-LA GUAJIRA</v>
          </cell>
        </row>
        <row r="357">
          <cell r="D357" t="str">
            <v>K6491 - Leasing financiero (arrendamiento financiero)</v>
          </cell>
          <cell r="J357" t="str">
            <v>FONTIBON-BOGOTA D.C.</v>
          </cell>
        </row>
        <row r="358">
          <cell r="D358" t="str">
            <v>K6492 - Actividades financieras de fondos de empleados y otras formas asociativas del sector solidario</v>
          </cell>
          <cell r="J358" t="str">
            <v>FORTUL-ARAUCA</v>
          </cell>
        </row>
        <row r="359">
          <cell r="D359" t="str">
            <v>K6493 - Actividades de compra de cartera o factoring</v>
          </cell>
          <cell r="J359" t="str">
            <v>FOSCA-CUNDINAMARCA</v>
          </cell>
        </row>
        <row r="360">
          <cell r="D360" t="str">
            <v>K6494 - Otras actividades de distribución de fondos</v>
          </cell>
          <cell r="J360" t="str">
            <v>FRANCISCO-PIZARRO-NARINO</v>
          </cell>
        </row>
        <row r="361">
          <cell r="D361" t="str">
            <v>K6495 - Instituciones especiales oficiales</v>
          </cell>
          <cell r="J361" t="str">
            <v>FREDONIA-ANTIOQUIA</v>
          </cell>
        </row>
        <row r="362">
          <cell r="D362" t="str">
            <v>K6499 - Otras actividades de servicio financiero, excepto las de seguros y pensiones n.c.p.</v>
          </cell>
          <cell r="J362" t="str">
            <v>FRESNO-TOLIMA</v>
          </cell>
        </row>
        <row r="363">
          <cell r="D363" t="str">
            <v>K6511 - Seguros generales</v>
          </cell>
          <cell r="J363" t="str">
            <v>FRONTINO-ANTIOQUIA</v>
          </cell>
        </row>
        <row r="364">
          <cell r="D364" t="str">
            <v>K6512 - Seguros de vida</v>
          </cell>
          <cell r="J364" t="str">
            <v>FUENTE-DE-ORO-META</v>
          </cell>
        </row>
        <row r="365">
          <cell r="D365" t="str">
            <v>K6513 - Reaseguros</v>
          </cell>
          <cell r="J365" t="str">
            <v>FUNDACION-MAGDALENA</v>
          </cell>
        </row>
        <row r="366">
          <cell r="D366" t="str">
            <v>K6514 - Capitalización</v>
          </cell>
          <cell r="J366" t="str">
            <v>FUNES-NARINO</v>
          </cell>
        </row>
        <row r="367">
          <cell r="D367" t="str">
            <v>K6521 - Servicios de seguros sociales de salud</v>
          </cell>
          <cell r="J367" t="str">
            <v>FUNZA-CUNDINAMARCA</v>
          </cell>
        </row>
        <row r="368">
          <cell r="D368" t="str">
            <v>K6522 - Servicios de seguros sociales de riesgos profesionales</v>
          </cell>
          <cell r="J368" t="str">
            <v>FUQUENE-CUNDINAMARCA</v>
          </cell>
        </row>
        <row r="369">
          <cell r="D369" t="str">
            <v>K6531 - Régimen de prima media con prestación definida (RPM)</v>
          </cell>
          <cell r="J369" t="str">
            <v>FUSAGASUGA-CUNDINAMARCA</v>
          </cell>
        </row>
        <row r="370">
          <cell r="D370" t="str">
            <v>K6532 - Régimen de ahorro individual (RAI)</v>
          </cell>
          <cell r="J370" t="str">
            <v>GACHALA-CUNDINAMARCA</v>
          </cell>
        </row>
        <row r="371">
          <cell r="D371" t="str">
            <v>K6611 - Administración de mercados financieros</v>
          </cell>
          <cell r="J371" t="str">
            <v>GACHANCIPA-CUNDINAMARCA</v>
          </cell>
        </row>
        <row r="372">
          <cell r="D372" t="str">
            <v>K6612 - Corretaje de valores y de contratos de productos básicos</v>
          </cell>
          <cell r="J372" t="str">
            <v>GACHANTIVA-BOYACA</v>
          </cell>
        </row>
        <row r="373">
          <cell r="D373" t="str">
            <v>K6613 - Otras actividades relacionadas con el mercado de valores</v>
          </cell>
          <cell r="J373" t="str">
            <v>GACHETA-CUNDINAMARCA</v>
          </cell>
        </row>
        <row r="374">
          <cell r="D374" t="str">
            <v>K6614 - Actividades de las casas de cambio</v>
          </cell>
          <cell r="J374" t="str">
            <v>GALAN-SANTANDER</v>
          </cell>
        </row>
        <row r="375">
          <cell r="D375" t="str">
            <v>K6615 - Actividades de los profesionales de compra y venta de divisas</v>
          </cell>
          <cell r="J375" t="str">
            <v>GALAPA-ATLANTICO</v>
          </cell>
        </row>
        <row r="376">
          <cell r="D376" t="str">
            <v>K6619 - Otras actividades auxiliares de las actividades de servicios financieros n.c.p.</v>
          </cell>
          <cell r="J376" t="str">
            <v>GALERAS-SUCRE</v>
          </cell>
        </row>
        <row r="377">
          <cell r="D377" t="str">
            <v>K6621 - Actividades de agentes y corredores de seguros</v>
          </cell>
          <cell r="J377" t="str">
            <v>GAMA-CUNDINAMARCA</v>
          </cell>
        </row>
        <row r="378">
          <cell r="D378" t="str">
            <v>K6629 - Evaluación de riesgos y daños, y otras actividades de servicios auxiliares</v>
          </cell>
          <cell r="J378" t="str">
            <v>GAMARRA-CESAR</v>
          </cell>
        </row>
        <row r="379">
          <cell r="D379" t="str">
            <v>K6630 - Actividades de administración de fondos</v>
          </cell>
          <cell r="J379" t="str">
            <v>GAMBITA-SANTANDER</v>
          </cell>
        </row>
        <row r="380">
          <cell r="D380" t="str">
            <v>L6810 - Actividades inmobiliarias realizadas con bienes propios o arrendados</v>
          </cell>
          <cell r="J380" t="str">
            <v>GAMEZA-BOYACA</v>
          </cell>
        </row>
        <row r="381">
          <cell r="D381" t="str">
            <v>L6820 - Actividades inmobiliarias realizadas a cambio de una retribución o por contrata</v>
          </cell>
          <cell r="J381" t="str">
            <v>GARAGOA-BOYACA</v>
          </cell>
        </row>
        <row r="382">
          <cell r="D382" t="str">
            <v>M6910 - Actividades jurídicas</v>
          </cell>
          <cell r="J382" t="str">
            <v>GARZON-HUILA</v>
          </cell>
        </row>
        <row r="383">
          <cell r="D383" t="str">
            <v>M6920 - Actividades de contabilidad, teneduría de libros, auditoría financiera y asesoría tributaria</v>
          </cell>
          <cell r="J383" t="str">
            <v>GENOVA-QUINDIO</v>
          </cell>
        </row>
        <row r="384">
          <cell r="D384" t="str">
            <v>M7010 - Actividades de administración empresarial</v>
          </cell>
          <cell r="J384" t="str">
            <v>GIGANTE-HUILA</v>
          </cell>
        </row>
        <row r="385">
          <cell r="D385" t="str">
            <v>M7020 - Actividades de consultaría de gestión</v>
          </cell>
          <cell r="J385" t="str">
            <v>GINEBRA-VALLE</v>
          </cell>
        </row>
        <row r="386">
          <cell r="D386" t="str">
            <v>M7110 - Actividades de arquitectura e ingeniería y otras actividades conexas de consultoría técnica</v>
          </cell>
          <cell r="J386" t="str">
            <v>GIRALDO-ANTIOQUIA</v>
          </cell>
        </row>
        <row r="387">
          <cell r="D387" t="str">
            <v>M7120 - Ensayos y análisis técnicos</v>
          </cell>
          <cell r="J387" t="str">
            <v>GIRARDOT-CUNDINAMARCA</v>
          </cell>
        </row>
        <row r="388">
          <cell r="D388" t="str">
            <v>M7210 - Investigaciones y desarrollo experimental en el campo de las ciencias naturales y la ingeniería</v>
          </cell>
          <cell r="J388" t="str">
            <v>GIRARDOTA-ANTIOQUIA</v>
          </cell>
        </row>
        <row r="389">
          <cell r="D389" t="str">
            <v>M7220 - Investigaciones y desarrollo experimental en el campo de las ciencias sociales y las humanidades</v>
          </cell>
          <cell r="J389" t="str">
            <v>GIRON-SANTANDER</v>
          </cell>
        </row>
        <row r="390">
          <cell r="D390" t="str">
            <v>M7310 - Publicidad</v>
          </cell>
          <cell r="J390" t="str">
            <v>GOMEZ-PLATA-ANTIOQUIA</v>
          </cell>
        </row>
        <row r="391">
          <cell r="D391" t="str">
            <v>M7320 - Estudios de mercado y realización de encuestas de opinión pública</v>
          </cell>
          <cell r="J391" t="str">
            <v>GONZALEZ-CESAR</v>
          </cell>
        </row>
        <row r="392">
          <cell r="D392" t="str">
            <v>M7410 - Actividades especializadas de diseño</v>
          </cell>
          <cell r="J392" t="str">
            <v>GRAMALOTE-NORTE DE SANTANDER</v>
          </cell>
        </row>
        <row r="393">
          <cell r="D393" t="str">
            <v>M7420 - Actividades de fotografía</v>
          </cell>
          <cell r="J393" t="str">
            <v>GRANADA-ANTIOQUIA</v>
          </cell>
        </row>
        <row r="394">
          <cell r="D394" t="str">
            <v>M7490 - Otras actividades profesionales, científicas y técnicas n.c.p.</v>
          </cell>
          <cell r="J394" t="str">
            <v>GRANADA-CUNDINAMARCA</v>
          </cell>
        </row>
        <row r="395">
          <cell r="D395" t="str">
            <v>M7500 - Actividades veterinarias</v>
          </cell>
          <cell r="J395" t="str">
            <v>GRANADA-META</v>
          </cell>
        </row>
        <row r="396">
          <cell r="D396" t="str">
            <v>N7710 - Alquiler y arrendamiento de vehículos automotores</v>
          </cell>
          <cell r="J396" t="str">
            <v>GUACA-SANTANDER</v>
          </cell>
        </row>
        <row r="397">
          <cell r="D397" t="str">
            <v>N7721 - Alquiler y arrendamiento de equipo recreativo y deportivo</v>
          </cell>
          <cell r="J397" t="str">
            <v>GUACAMAYAS-BOYACA</v>
          </cell>
        </row>
        <row r="398">
          <cell r="D398" t="str">
            <v>N7722 - Alquiler de videos y discos</v>
          </cell>
          <cell r="J398" t="str">
            <v>GUACARI-VALLE</v>
          </cell>
        </row>
        <row r="399">
          <cell r="D399" t="str">
            <v>N7729 - Alquiler y arrendamiento de otros efectos personales y enseres domésticos n.c.p.</v>
          </cell>
          <cell r="J399" t="str">
            <v>GUACHENE-CAUCA</v>
          </cell>
        </row>
        <row r="400">
          <cell r="D400" t="str">
            <v>N7730 - Alquiler y arrendamiento de otros tipos de maquinaria, equipo y bienes tangibles n.c.p.</v>
          </cell>
          <cell r="J400" t="str">
            <v>GUACHETA-CUNDINAMARCA</v>
          </cell>
        </row>
        <row r="401">
          <cell r="D401" t="str">
            <v>N7740 - Arrendamiento de propiedad intelectual y productos similares, excepto obras protegidas por derechos de autor</v>
          </cell>
          <cell r="J401" t="str">
            <v>GUACHUCAL-NARINO</v>
          </cell>
        </row>
        <row r="402">
          <cell r="D402" t="str">
            <v>N7810 - Actividades de agencias de empleo</v>
          </cell>
          <cell r="J402" t="str">
            <v>GUADALUPE-ANTIOQUIA</v>
          </cell>
        </row>
        <row r="403">
          <cell r="D403" t="str">
            <v>N7820 - Actividades de agencias de empleo temporal</v>
          </cell>
          <cell r="J403" t="str">
            <v>GUADALUPE-HUILA</v>
          </cell>
        </row>
        <row r="404">
          <cell r="D404" t="str">
            <v>N7830 - Otras actividades de suministro de recurso humano</v>
          </cell>
          <cell r="J404" t="str">
            <v>GUADALUPE-SANTANDER</v>
          </cell>
        </row>
        <row r="405">
          <cell r="D405" t="str">
            <v>N7911 - Actividades de las agencias de viaje</v>
          </cell>
          <cell r="J405" t="str">
            <v>GUADUAS-CUNDINAMARCA</v>
          </cell>
        </row>
        <row r="406">
          <cell r="D406" t="str">
            <v>N7912 - Actividades de operadores turísticos</v>
          </cell>
          <cell r="J406" t="str">
            <v>GUAITARILLA-NARINO</v>
          </cell>
        </row>
        <row r="407">
          <cell r="D407" t="str">
            <v>N7990 - Otros servicios de reserva y actividades relacionadas</v>
          </cell>
          <cell r="J407" t="str">
            <v>GUALMATAN-NARINO</v>
          </cell>
        </row>
        <row r="408">
          <cell r="D408" t="str">
            <v>N8010 - Actividades de seguridad privada</v>
          </cell>
          <cell r="J408" t="str">
            <v>GUAMAL-MAGDALENA</v>
          </cell>
        </row>
        <row r="409">
          <cell r="D409" t="str">
            <v>N8020 - Actividades de servicios de sistemas de seguridad</v>
          </cell>
          <cell r="J409" t="str">
            <v>GUAMAL-META</v>
          </cell>
        </row>
        <row r="410">
          <cell r="D410" t="str">
            <v>N8030 - Actividades de detectives e investigadores privados</v>
          </cell>
          <cell r="J410" t="str">
            <v>GUAMO-TOLIMA</v>
          </cell>
        </row>
        <row r="411">
          <cell r="D411" t="str">
            <v>N8110 - Actividades combinadas de apoyo a instalaciones</v>
          </cell>
          <cell r="J411" t="str">
            <v>GUAPI-CAUCA</v>
          </cell>
        </row>
        <row r="412">
          <cell r="D412" t="str">
            <v>N8121 - Limpieza general interior de edificios</v>
          </cell>
          <cell r="J412" t="str">
            <v>GUAPOTA-SANTANDER</v>
          </cell>
        </row>
        <row r="413">
          <cell r="D413" t="str">
            <v>N8129 - Otras actividades de limpieza de edificios e instalaciones industriales</v>
          </cell>
          <cell r="J413" t="str">
            <v>GUARANOA-SUCRE</v>
          </cell>
        </row>
        <row r="414">
          <cell r="D414" t="str">
            <v>N8130 - Actividades de paisajismo y servicios de mantenimiento conexos</v>
          </cell>
          <cell r="J414" t="str">
            <v>GUARNE-ANTIOQUIA</v>
          </cell>
        </row>
        <row r="415">
          <cell r="D415" t="str">
            <v>N8211 - Actividades combinadas de servicios administrativos de oficina</v>
          </cell>
          <cell r="J415" t="str">
            <v>GUASCA-CUNDINAMARCA</v>
          </cell>
        </row>
        <row r="416">
          <cell r="D416" t="str">
            <v>N8219 - Fotocopiado, preparación de documentos y otras actividades especializadas de apoyo a oficina</v>
          </cell>
          <cell r="J416" t="str">
            <v>GUATAPE-ANTIOQUIA</v>
          </cell>
        </row>
        <row r="417">
          <cell r="D417" t="str">
            <v>N8220 - Actividades de centros de llamadas (Call center)</v>
          </cell>
          <cell r="J417" t="str">
            <v>GUATAQUI-CUNDINAMARCA</v>
          </cell>
        </row>
        <row r="418">
          <cell r="D418" t="str">
            <v>N8230 - Organización de convenciones y eventos comerciales</v>
          </cell>
          <cell r="J418" t="str">
            <v>GUATAVITA-CUNDINAMARCA</v>
          </cell>
        </row>
        <row r="419">
          <cell r="D419" t="str">
            <v>N8291 - Actividades de agencias de cobranza y oficinas de calificación crediticia</v>
          </cell>
          <cell r="J419" t="str">
            <v>GUATEQUE-BOYACA</v>
          </cell>
        </row>
        <row r="420">
          <cell r="D420" t="str">
            <v>N8292 - Actividades de envase y empaque</v>
          </cell>
          <cell r="J420" t="str">
            <v>GUATICA-RISARALDA</v>
          </cell>
        </row>
        <row r="421">
          <cell r="D421" t="str">
            <v>N8299 - Otras actividades de servicio de apoyo a las empresas n.c.p.</v>
          </cell>
          <cell r="J421" t="str">
            <v>GUAVATA-SANTANDER</v>
          </cell>
        </row>
        <row r="422">
          <cell r="D422" t="str">
            <v>O8411 - Actividades legislativas de la administración pública</v>
          </cell>
          <cell r="J422" t="str">
            <v>GUAVIARE-GUAINIA</v>
          </cell>
        </row>
        <row r="423">
          <cell r="D423" t="str">
            <v>O8412 - Actividades ejecutivas de la administración pública</v>
          </cell>
          <cell r="J423" t="str">
            <v>GUAYABAL-DE-SIQUIMA-CUNDINAMARCA</v>
          </cell>
        </row>
        <row r="424">
          <cell r="D424" t="str">
            <v>O8413 - Regulación de las actividades de organismos que prestan servicios de salud, educativos, culturales y otros servicios sociales, excepto servicios de seguridad social</v>
          </cell>
          <cell r="J424" t="str">
            <v>GUAYABETAL-CUNDINAMARCA</v>
          </cell>
        </row>
        <row r="425">
          <cell r="D425" t="str">
            <v>O8414 - Actividades reguladoras y facilitadoras de la actividad económica</v>
          </cell>
          <cell r="J425" t="str">
            <v>GUAYATA-BOYACA</v>
          </cell>
        </row>
        <row r="426">
          <cell r="D426" t="str">
            <v>O8415 - Actividades de los otros órganos de control</v>
          </cell>
          <cell r="J426" t="str">
            <v>GUEPSA-SANTANDER</v>
          </cell>
        </row>
        <row r="427">
          <cell r="D427" t="str">
            <v>O8421 - Relaciones exteriores</v>
          </cell>
          <cell r="J427" t="str">
            <v>GUICAN-BOYACA</v>
          </cell>
        </row>
        <row r="428">
          <cell r="D428" t="str">
            <v>O8422 - Actividades de defensa</v>
          </cell>
          <cell r="J428" t="str">
            <v>GUTIERREZ-CUNDINAMARCA</v>
          </cell>
        </row>
        <row r="429">
          <cell r="D429" t="str">
            <v>O8423 - Orden público y actividades de seguridad</v>
          </cell>
          <cell r="J429" t="str">
            <v>HACARI-NORTE DE SANTANDER</v>
          </cell>
        </row>
        <row r="430">
          <cell r="D430" t="str">
            <v>O8424 - Administración de justicia</v>
          </cell>
          <cell r="J430" t="str">
            <v>HATILLO-DE-LOBA-BOLIVAR</v>
          </cell>
        </row>
        <row r="431">
          <cell r="D431" t="str">
            <v>O8430 - Actividades de planes de seguridad social de afiliación obligatoria</v>
          </cell>
          <cell r="J431" t="str">
            <v>HATO-COROZAL-CASANARE</v>
          </cell>
        </row>
        <row r="432">
          <cell r="D432" t="str">
            <v>P8511 - Educación de la primera infancia</v>
          </cell>
          <cell r="J432" t="str">
            <v>HATO-SANTANDER</v>
          </cell>
        </row>
        <row r="433">
          <cell r="D433" t="str">
            <v>P8512 - Educación preescolar</v>
          </cell>
          <cell r="J433" t="str">
            <v>HATONUEVO-LA GUAJIRA</v>
          </cell>
        </row>
        <row r="434">
          <cell r="D434" t="str">
            <v>P8513 - Educación básica primaria</v>
          </cell>
          <cell r="J434" t="str">
            <v>HELICONIA-ANTIOQUIA</v>
          </cell>
        </row>
        <row r="435">
          <cell r="D435" t="str">
            <v>P8521 - Educación básica secundaria</v>
          </cell>
          <cell r="J435" t="str">
            <v>HERRAN-NORTE DE SANTANDER</v>
          </cell>
        </row>
        <row r="436">
          <cell r="D436" t="str">
            <v>P8522 - Educación media académica</v>
          </cell>
          <cell r="J436" t="str">
            <v>HERVEO-TOLIMA</v>
          </cell>
        </row>
        <row r="437">
          <cell r="D437" t="str">
            <v>P8523 - Educación media técnica y de formación laboral</v>
          </cell>
          <cell r="J437" t="str">
            <v>HISPANIA-ANTIOQUIA</v>
          </cell>
        </row>
        <row r="438">
          <cell r="D438" t="str">
            <v>P8530 - Establecimientos que combinan diferentes niveles de educación</v>
          </cell>
          <cell r="J438" t="str">
            <v>HOBO-HUILA</v>
          </cell>
        </row>
        <row r="439">
          <cell r="D439" t="str">
            <v>P8541 - Educación técnica profesional</v>
          </cell>
          <cell r="J439" t="str">
            <v>HONDA-TOLIMA</v>
          </cell>
        </row>
        <row r="440">
          <cell r="D440" t="str">
            <v>P8542 - Educación tecnológica</v>
          </cell>
          <cell r="J440" t="str">
            <v>IBAGUE-TOLIMA</v>
          </cell>
        </row>
        <row r="441">
          <cell r="D441" t="str">
            <v>P8543 - Educación de instituciones universitarias o de escuelas tecnológicas</v>
          </cell>
          <cell r="J441" t="str">
            <v>ICONONZO-TOLIMA</v>
          </cell>
        </row>
        <row r="442">
          <cell r="D442" t="str">
            <v>P8544 - Educación de universidades</v>
          </cell>
          <cell r="J442" t="str">
            <v>ILES-NARINO</v>
          </cell>
        </row>
        <row r="443">
          <cell r="D443" t="str">
            <v>P8551 - Formación académica no formal</v>
          </cell>
          <cell r="J443" t="str">
            <v>IMUES-NARINO</v>
          </cell>
        </row>
        <row r="444">
          <cell r="D444" t="str">
            <v>P8552 - Enseñanza deportiva y recreativa</v>
          </cell>
          <cell r="J444" t="str">
            <v>INIRIDA-GUAINIA</v>
          </cell>
        </row>
        <row r="445">
          <cell r="D445" t="str">
            <v>P8553 - Enseñanza cultural</v>
          </cell>
          <cell r="J445" t="str">
            <v>INZA-CAUCA</v>
          </cell>
        </row>
        <row r="446">
          <cell r="D446" t="str">
            <v>P8559 - Otros tipos de educación n.c.p.</v>
          </cell>
          <cell r="J446" t="str">
            <v>IPIALES-NARINO</v>
          </cell>
        </row>
        <row r="447">
          <cell r="D447" t="str">
            <v>P8560 - Actividades de apoyo a la educación</v>
          </cell>
          <cell r="J447" t="str">
            <v>IQUIRA-HUILA</v>
          </cell>
        </row>
        <row r="448">
          <cell r="D448" t="str">
            <v>Q8610 - Actividades de hospitales y clínicas, con internación</v>
          </cell>
          <cell r="J448" t="str">
            <v>ISNOS-HUILA</v>
          </cell>
        </row>
        <row r="449">
          <cell r="D449" t="str">
            <v>Q8621 - Actividades de la práctica médica, sin internación</v>
          </cell>
          <cell r="J449" t="str">
            <v>ITAGUI-ANTIOQUIA</v>
          </cell>
        </row>
        <row r="450">
          <cell r="D450" t="str">
            <v>Q8622 - Actividades de la práctica odontológica</v>
          </cell>
          <cell r="J450" t="str">
            <v>ITSMINA-CHOCO</v>
          </cell>
        </row>
        <row r="451">
          <cell r="D451" t="str">
            <v>Q8691 - Actividades de apoyo diagnóstico</v>
          </cell>
          <cell r="J451" t="str">
            <v>ITUANGO-ANTIOQUIA</v>
          </cell>
        </row>
        <row r="452">
          <cell r="D452" t="str">
            <v>Q8692 - Actividades de apoyo terapéutico</v>
          </cell>
          <cell r="J452" t="str">
            <v>IZA-BOYACA</v>
          </cell>
        </row>
        <row r="453">
          <cell r="D453" t="str">
            <v>Q8699 - Otras actividades de atención de la salud humana</v>
          </cell>
          <cell r="J453" t="str">
            <v>JAMBALO-CAUCA</v>
          </cell>
        </row>
        <row r="454">
          <cell r="D454" t="str">
            <v>Q8710 - Actividades de atención residencial medicalizada de tipo general</v>
          </cell>
          <cell r="J454" t="str">
            <v>JAMUNDI-VALLE</v>
          </cell>
        </row>
        <row r="455">
          <cell r="D455" t="str">
            <v>Q8720 - Actividades de atención residencial, para el cuidado de pacientes con retardo mental, enfermedad mental y consumo de sustancias psicoactivas</v>
          </cell>
          <cell r="J455" t="str">
            <v>JARDIN-ANTIOQUIA</v>
          </cell>
        </row>
        <row r="456">
          <cell r="D456" t="str">
            <v>Q8730 - Actividades de atención en instituciones para el cuidado de personas mayores y/o discapacitadas</v>
          </cell>
          <cell r="J456" t="str">
            <v>JENESANO-BOYACA</v>
          </cell>
        </row>
        <row r="457">
          <cell r="D457" t="str">
            <v>Q8790 - Otras actividades de atención en instituciones con alojamiento</v>
          </cell>
          <cell r="J457" t="str">
            <v>JERICO-ANTIOQUIA</v>
          </cell>
        </row>
        <row r="458">
          <cell r="D458" t="str">
            <v>Q8810 - Actividades de asistencia social sin alojamiento para personas mayores y discapacitadas</v>
          </cell>
          <cell r="J458" t="str">
            <v>JERICO-BOYACA</v>
          </cell>
        </row>
        <row r="459">
          <cell r="D459" t="str">
            <v>Q8890 - Otras actividades de asistencia social sin alojamiento</v>
          </cell>
          <cell r="J459" t="str">
            <v>JERUSALEN-CUNDINAMARCA</v>
          </cell>
        </row>
        <row r="460">
          <cell r="D460" t="str">
            <v>R9001 - Creación literaria</v>
          </cell>
          <cell r="J460" t="str">
            <v>JESUS-MARIA-SANTANDER</v>
          </cell>
        </row>
        <row r="461">
          <cell r="D461" t="str">
            <v>R9002 - Creación musical</v>
          </cell>
          <cell r="J461" t="str">
            <v>JORDAN-SANTANDER</v>
          </cell>
        </row>
        <row r="462">
          <cell r="D462" t="str">
            <v>R9003 - Creación teatral</v>
          </cell>
          <cell r="J462" t="str">
            <v>JUAN-DE-ACOSTA-ATLANTICO</v>
          </cell>
        </row>
        <row r="463">
          <cell r="D463" t="str">
            <v>R9004 - Creación audiovisual</v>
          </cell>
          <cell r="J463" t="str">
            <v>JUNIN-CUNDINAMARCA</v>
          </cell>
        </row>
        <row r="464">
          <cell r="D464" t="str">
            <v>R9005 - Artes plásticas y visuales</v>
          </cell>
          <cell r="J464" t="str">
            <v>JURADO-CHOCO</v>
          </cell>
        </row>
        <row r="465">
          <cell r="D465" t="str">
            <v>R9006 - Actividades teatrales</v>
          </cell>
          <cell r="J465" t="str">
            <v>LA-APARTADA-CORDOBA</v>
          </cell>
        </row>
        <row r="466">
          <cell r="D466" t="str">
            <v>R9007 - Actividades de espectáculos musicales en vivo</v>
          </cell>
          <cell r="J466" t="str">
            <v>LA-ARGENTINA-HUILA</v>
          </cell>
        </row>
        <row r="467">
          <cell r="D467" t="str">
            <v>R9008 - Otras actividades de espectáculos en vivo</v>
          </cell>
          <cell r="J467" t="str">
            <v>LA-BELLEZA-SANTANDER</v>
          </cell>
        </row>
        <row r="468">
          <cell r="D468" t="str">
            <v>R9101 - Actividades de bibliotecas y archivos</v>
          </cell>
          <cell r="J468" t="str">
            <v>LA-CALERA-CUNDINAMARCA</v>
          </cell>
        </row>
        <row r="469">
          <cell r="D469" t="str">
            <v>R9102 - Actividades y funcionamiento de museos, conservación de edificios y sitios históricos</v>
          </cell>
          <cell r="J469" t="str">
            <v>LA-CAPILLA-BOYACA</v>
          </cell>
        </row>
        <row r="470">
          <cell r="D470" t="str">
            <v>R9103 - Actividades de jardines botánicos, zoológicos y reservas naturales</v>
          </cell>
          <cell r="J470" t="str">
            <v>LA-CEJA-ANTIOQUIA</v>
          </cell>
        </row>
        <row r="471">
          <cell r="D471" t="str">
            <v>R9200 - Actividades de juegos de azar y apuestas</v>
          </cell>
          <cell r="J471" t="str">
            <v>LA-CELIA-RISARALDA</v>
          </cell>
        </row>
        <row r="472">
          <cell r="D472" t="str">
            <v>R9311 - Gestión de instalaciones deportivas</v>
          </cell>
          <cell r="J472" t="str">
            <v>LA-CHORRERA-AMAZONAS</v>
          </cell>
        </row>
        <row r="473">
          <cell r="D473" t="str">
            <v>R9312 - Actividades de clubes deportivos</v>
          </cell>
          <cell r="J473" t="str">
            <v>LA-CRUZ-NARINO</v>
          </cell>
        </row>
        <row r="474">
          <cell r="D474" t="str">
            <v>R9319 - Otras actividades deportivas</v>
          </cell>
          <cell r="J474" t="str">
            <v>LA-CUMBRE-VALLE</v>
          </cell>
        </row>
        <row r="475">
          <cell r="D475" t="str">
            <v>R9321 - Actividades de parques de atracciones y parques temáticos</v>
          </cell>
          <cell r="J475" t="str">
            <v>LA-DORADA-CALDAS</v>
          </cell>
        </row>
        <row r="476">
          <cell r="D476" t="str">
            <v>R9329 - Otras actividades recreativas y de esparcimiento n.c.p.</v>
          </cell>
          <cell r="J476" t="str">
            <v>LA-ESPERANZA-NORTE DE SANTANDER</v>
          </cell>
        </row>
        <row r="477">
          <cell r="D477" t="str">
            <v>S9411 - Actividades de asociaciones empresariales y de empleadores</v>
          </cell>
          <cell r="J477" t="str">
            <v>LA-ESTRELLA-ANTIOQUIA</v>
          </cell>
        </row>
        <row r="478">
          <cell r="D478" t="str">
            <v>S9412 - Actividades de asociaciones profesionales</v>
          </cell>
          <cell r="J478" t="str">
            <v>LA-FLORIDA-NARINO</v>
          </cell>
        </row>
        <row r="479">
          <cell r="D479" t="str">
            <v>S9420 - Actividades de sindicatos de empleados</v>
          </cell>
          <cell r="J479" t="str">
            <v>LA-GLORIA-CESAR</v>
          </cell>
        </row>
        <row r="480">
          <cell r="D480" t="str">
            <v>S9491 - Actividades de asociaciones religiosas</v>
          </cell>
          <cell r="J480" t="str">
            <v>LA-GUADALUPE-GUAINIA</v>
          </cell>
        </row>
        <row r="481">
          <cell r="D481" t="str">
            <v>S9492 - Actividades de asociaciones políticas</v>
          </cell>
          <cell r="J481" t="str">
            <v>LA-JAGUA-DE-IBIRICO-CESAR</v>
          </cell>
        </row>
        <row r="482">
          <cell r="D482" t="str">
            <v>S9499 - Actividades de otras asociaciones n.c.p.</v>
          </cell>
          <cell r="J482" t="str">
            <v>LA-JAGUA-DEL-PILAR-LA GUAJIRA</v>
          </cell>
        </row>
        <row r="483">
          <cell r="D483" t="str">
            <v>S9511 - Mantenimiento y reparación de computadores y de equipo periférico</v>
          </cell>
          <cell r="J483" t="str">
            <v>LA-LLANADA-NARINO</v>
          </cell>
        </row>
        <row r="484">
          <cell r="D484" t="str">
            <v>S9512 - Mantenimiento y reparación de equipos de comunicación</v>
          </cell>
          <cell r="J484" t="str">
            <v>LA-MACARENA-META</v>
          </cell>
        </row>
        <row r="485">
          <cell r="D485" t="str">
            <v>S9521 - Mantenimiento y reparación de aparatos electrónicos de consumo</v>
          </cell>
          <cell r="J485" t="str">
            <v>LA-MERCED-CALDAS</v>
          </cell>
        </row>
        <row r="486">
          <cell r="D486" t="str">
            <v>S9522 - Mantenimiento y reparación de aparatos y equipos domésticos y de jardinería</v>
          </cell>
          <cell r="J486" t="str">
            <v>LA-MESA-CUNDINAMARCA</v>
          </cell>
        </row>
        <row r="487">
          <cell r="D487" t="str">
            <v>S9523 - Reparación de calzado y artículos de cuero</v>
          </cell>
          <cell r="J487" t="str">
            <v>LA-MONTANITA-CAQUETA</v>
          </cell>
        </row>
        <row r="488">
          <cell r="D488" t="str">
            <v>S9524 - Reparación de muebles y accesorios para el hogar</v>
          </cell>
          <cell r="J488" t="str">
            <v>LA-PALMA-CUNDINAMARCA</v>
          </cell>
        </row>
        <row r="489">
          <cell r="D489" t="str">
            <v>S9529 - Mantenimiento y reparación de otros efectos personales y enseres domésticos</v>
          </cell>
          <cell r="J489" t="str">
            <v>LA-PAZ-(ROBLES)-CESAR</v>
          </cell>
        </row>
        <row r="490">
          <cell r="D490" t="str">
            <v>S9601 - Lavado y limpieza, incluso la limpieza en seco, de productos textiles y de piel</v>
          </cell>
          <cell r="J490" t="str">
            <v>LA-PAZ-SANTANDER</v>
          </cell>
        </row>
        <row r="491">
          <cell r="D491" t="str">
            <v>S9602 - Peluquería y otros tratamientos de belleza</v>
          </cell>
          <cell r="J491" t="str">
            <v>LA-PEDRERA-AMAZONAS</v>
          </cell>
        </row>
        <row r="492">
          <cell r="D492" t="str">
            <v>S9603 - Pompas fúnebres y actividades relacionadas</v>
          </cell>
          <cell r="J492" t="str">
            <v>LA-PENA-CUNDINAMARCA</v>
          </cell>
        </row>
        <row r="493">
          <cell r="D493" t="str">
            <v>S9609 - Otras actividades de servicios personales n.c.p.</v>
          </cell>
          <cell r="J493" t="str">
            <v>LA-PINTADA-ANTIOQUIA</v>
          </cell>
        </row>
        <row r="494">
          <cell r="D494" t="str">
            <v>T9700 - Actividades de los hogares individuales como empleadores de personal doméstico</v>
          </cell>
          <cell r="J494" t="str">
            <v>LA-PLATA-HUILA</v>
          </cell>
        </row>
        <row r="495">
          <cell r="D495" t="str">
            <v>T9810 - Actividades no diferenciadas de los hogares individuales como productores de bienes para uso propio</v>
          </cell>
          <cell r="J495" t="str">
            <v>LA-PLAYA-NORTE DE SANTANDER</v>
          </cell>
        </row>
        <row r="496">
          <cell r="D496" t="str">
            <v>T9820 - Actividades no diferenciadas de los hogares individuales como productores de servicios para uso propio</v>
          </cell>
          <cell r="J496" t="str">
            <v>LA-PRIMAVERA-VICHADA</v>
          </cell>
        </row>
        <row r="497">
          <cell r="D497" t="str">
            <v>U9900 - Actividades de organizaciones y entidades extraterritoriales</v>
          </cell>
          <cell r="J497" t="str">
            <v>LA-SALINA-CASANARE</v>
          </cell>
        </row>
        <row r="498">
          <cell r="J498" t="str">
            <v>LA-SIERRA-CAUCA</v>
          </cell>
        </row>
        <row r="499">
          <cell r="J499" t="str">
            <v>LA-TEBAIDA-QUINDIO</v>
          </cell>
        </row>
        <row r="500">
          <cell r="J500" t="str">
            <v>LA-TOLA-NARINO</v>
          </cell>
        </row>
        <row r="501">
          <cell r="J501" t="str">
            <v>LA-UNION-ANTIOQUIA</v>
          </cell>
        </row>
        <row r="502">
          <cell r="J502" t="str">
            <v>LA-UNION-NARINO</v>
          </cell>
        </row>
        <row r="503">
          <cell r="J503" t="str">
            <v>LA-UNION-SUCRE</v>
          </cell>
        </row>
        <row r="504">
          <cell r="J504" t="str">
            <v>LA-UNION-VALLE</v>
          </cell>
        </row>
        <row r="505">
          <cell r="J505" t="str">
            <v>LA-UVITA-BOYACA</v>
          </cell>
        </row>
        <row r="506">
          <cell r="J506" t="str">
            <v>LA-VEGA-CAUCA</v>
          </cell>
        </row>
        <row r="507">
          <cell r="J507" t="str">
            <v>LA-VEGA-CUNDINAMARCA</v>
          </cell>
        </row>
        <row r="508">
          <cell r="J508" t="str">
            <v>LA-VICTORIA-AMAZONAS</v>
          </cell>
        </row>
        <row r="509">
          <cell r="J509" t="str">
            <v>LA-VICTORIA-BOYACA</v>
          </cell>
        </row>
        <row r="510">
          <cell r="J510" t="str">
            <v>LA-VICTORIA-VALLE</v>
          </cell>
        </row>
        <row r="511">
          <cell r="J511" t="str">
            <v>LA-VIRGINIA-RISARALDA</v>
          </cell>
        </row>
        <row r="512">
          <cell r="J512" t="str">
            <v>LABATECA-NORTE DE SANTANDER</v>
          </cell>
        </row>
        <row r="513">
          <cell r="J513" t="str">
            <v>LABRANZAGRANDE-BOYACA</v>
          </cell>
        </row>
        <row r="514">
          <cell r="J514" t="str">
            <v>LANDAZURI-SANTANDER</v>
          </cell>
        </row>
        <row r="515">
          <cell r="J515" t="str">
            <v>LEBRIJA-SANTANDER</v>
          </cell>
        </row>
        <row r="516">
          <cell r="J516" t="str">
            <v>LEIVA-NARINO</v>
          </cell>
        </row>
        <row r="517">
          <cell r="J517" t="str">
            <v>LEJANIAS-META</v>
          </cell>
        </row>
        <row r="518">
          <cell r="J518" t="str">
            <v>LENGUAZAQUE-CUNDINAMARCA</v>
          </cell>
        </row>
        <row r="519">
          <cell r="J519" t="str">
            <v>LERIDA-TOLIMA</v>
          </cell>
        </row>
        <row r="520">
          <cell r="J520" t="str">
            <v>LETICIA-AMAZONAS</v>
          </cell>
        </row>
        <row r="521">
          <cell r="J521" t="str">
            <v>LIBANO-TOLIMA</v>
          </cell>
        </row>
        <row r="522">
          <cell r="J522" t="str">
            <v>LIBORINA-ANTIOQUIA</v>
          </cell>
        </row>
        <row r="523">
          <cell r="J523" t="str">
            <v>LINARES-NARINO</v>
          </cell>
        </row>
        <row r="524">
          <cell r="J524" t="str">
            <v>LLORO-CHOCO</v>
          </cell>
        </row>
        <row r="525">
          <cell r="J525" t="str">
            <v>LOPEZ-(MICAY)-CAUCA</v>
          </cell>
        </row>
        <row r="526">
          <cell r="J526" t="str">
            <v>LORICA-CORDOBA</v>
          </cell>
        </row>
        <row r="527">
          <cell r="J527" t="str">
            <v>LOS-ANDES-NARINO</v>
          </cell>
        </row>
        <row r="528">
          <cell r="J528" t="str">
            <v>LOS-CORDOBAS-CORDOBA</v>
          </cell>
        </row>
        <row r="529">
          <cell r="J529" t="str">
            <v>LOS-PALMITOS-SUCRE</v>
          </cell>
        </row>
        <row r="530">
          <cell r="J530" t="str">
            <v>LOS-PATIOS-NORTE DE SANTANDER</v>
          </cell>
        </row>
        <row r="531">
          <cell r="J531" t="str">
            <v>LOS-SANTOS-SANTANDER</v>
          </cell>
        </row>
        <row r="532">
          <cell r="J532" t="str">
            <v>LOURDES-NORTE DE SANTANDER</v>
          </cell>
        </row>
        <row r="533">
          <cell r="J533" t="str">
            <v>LURUACO-ATLANTICO</v>
          </cell>
        </row>
        <row r="534">
          <cell r="J534" t="str">
            <v>MACANAL-BOYACA</v>
          </cell>
        </row>
        <row r="535">
          <cell r="J535" t="str">
            <v>MACARAVITA-SANTANDER</v>
          </cell>
        </row>
        <row r="536">
          <cell r="J536" t="str">
            <v>MACEO-ANTIOQUIA</v>
          </cell>
        </row>
        <row r="537">
          <cell r="J537" t="str">
            <v>MACHETA-CUNDINAMARCA</v>
          </cell>
        </row>
        <row r="538">
          <cell r="J538" t="str">
            <v>MADRID-CUNDINAMARCA</v>
          </cell>
        </row>
        <row r="539">
          <cell r="J539" t="str">
            <v>MAGANGUE-BOLIVAR</v>
          </cell>
        </row>
        <row r="540">
          <cell r="J540" t="str">
            <v>MAGUI-NARINO</v>
          </cell>
        </row>
        <row r="541">
          <cell r="J541" t="str">
            <v>MAHATES-BOLIVAR</v>
          </cell>
        </row>
        <row r="542">
          <cell r="J542" t="str">
            <v>MAICAO-LA GUAJIRA</v>
          </cell>
        </row>
        <row r="543">
          <cell r="J543" t="str">
            <v>MAJAGUAL-SUCRE</v>
          </cell>
        </row>
        <row r="544">
          <cell r="J544" t="str">
            <v>MALAGA-SANTANDER</v>
          </cell>
        </row>
        <row r="545">
          <cell r="J545" t="str">
            <v>MALAMBO-ATLANTICO</v>
          </cell>
        </row>
        <row r="546">
          <cell r="J546" t="str">
            <v>MALLAMA-NARINO</v>
          </cell>
        </row>
        <row r="547">
          <cell r="J547" t="str">
            <v>MANATI-ATLANTICO</v>
          </cell>
        </row>
        <row r="548">
          <cell r="J548" t="str">
            <v>MANAURE-BALCON-DEL-CESAR-CESAR</v>
          </cell>
        </row>
        <row r="549">
          <cell r="J549" t="str">
            <v>MANAURE-LA GUAJIRA</v>
          </cell>
        </row>
        <row r="550">
          <cell r="J550" t="str">
            <v>MANI-CASANARE</v>
          </cell>
        </row>
        <row r="551">
          <cell r="J551" t="str">
            <v>MANIZALES-CALDAS</v>
          </cell>
        </row>
        <row r="552">
          <cell r="J552" t="str">
            <v>MANTA-CUNDINAMARCA</v>
          </cell>
        </row>
        <row r="553">
          <cell r="J553" t="str">
            <v>MANZANARES-CALDAS</v>
          </cell>
        </row>
        <row r="554">
          <cell r="J554" t="str">
            <v>MAPIRIPANA-GUAINIA</v>
          </cell>
        </row>
        <row r="555">
          <cell r="J555" t="str">
            <v>MAPIRIPÁN-META</v>
          </cell>
        </row>
        <row r="556">
          <cell r="J556" t="str">
            <v>MARGARITA-BOLIVAR</v>
          </cell>
        </row>
        <row r="557">
          <cell r="J557" t="str">
            <v>MARIA-LA-BAJA-BOLIVAR</v>
          </cell>
        </row>
        <row r="558">
          <cell r="J558" t="str">
            <v>MARINILLA-ANTIOQUIA</v>
          </cell>
        </row>
        <row r="559">
          <cell r="J559" t="str">
            <v>MARIPI-BOYACA</v>
          </cell>
        </row>
        <row r="560">
          <cell r="J560" t="str">
            <v>MARIQUITA-TOLIMA</v>
          </cell>
        </row>
        <row r="561">
          <cell r="J561" t="str">
            <v>MARMATO-CALDAS</v>
          </cell>
        </row>
        <row r="562">
          <cell r="J562" t="str">
            <v>MARQUETALIA-CALDAS</v>
          </cell>
        </row>
        <row r="563">
          <cell r="J563" t="str">
            <v>MARSELLA-RISARALDA</v>
          </cell>
        </row>
        <row r="564">
          <cell r="J564" t="str">
            <v>MARULANDA-CALDAS</v>
          </cell>
        </row>
        <row r="565">
          <cell r="J565" t="str">
            <v>MATANZA-SANTANDER</v>
          </cell>
        </row>
        <row r="566">
          <cell r="J566" t="str">
            <v>MEDELLIN-ANTIOQUIA</v>
          </cell>
        </row>
        <row r="567">
          <cell r="J567" t="str">
            <v>MEDINA-CUNDINAMARCA</v>
          </cell>
        </row>
        <row r="568">
          <cell r="J568" t="str">
            <v>MEDIO-ATRATO-CHOCO</v>
          </cell>
        </row>
        <row r="569">
          <cell r="J569" t="str">
            <v>MEDIO-BAUDÓ-CHOCO</v>
          </cell>
        </row>
        <row r="570">
          <cell r="J570" t="str">
            <v>MEDIO-SAN-JUAN-CHOCO</v>
          </cell>
        </row>
        <row r="571">
          <cell r="J571" t="str">
            <v>MELGAR-TOLIMA</v>
          </cell>
        </row>
        <row r="572">
          <cell r="J572" t="str">
            <v>MERCADERES-CAUCA</v>
          </cell>
        </row>
        <row r="573">
          <cell r="J573" t="str">
            <v>MESETAS-META</v>
          </cell>
        </row>
        <row r="574">
          <cell r="J574" t="str">
            <v>MILAN-CAQUETA</v>
          </cell>
        </row>
        <row r="575">
          <cell r="J575" t="str">
            <v>MIRAFLORES-BOYACA</v>
          </cell>
        </row>
        <row r="576">
          <cell r="J576" t="str">
            <v>MIRAFLORES-GUAVIARE</v>
          </cell>
        </row>
        <row r="577">
          <cell r="J577" t="str">
            <v>MIRANDA-CAUCA</v>
          </cell>
        </row>
        <row r="578">
          <cell r="J578" t="str">
            <v>MIRITI-PARANA-AMAZONAS</v>
          </cell>
        </row>
        <row r="579">
          <cell r="J579" t="str">
            <v>MISTRATO-RISARALDA</v>
          </cell>
        </row>
        <row r="580">
          <cell r="J580" t="str">
            <v>MITU-VAUPES</v>
          </cell>
        </row>
        <row r="581">
          <cell r="J581" t="str">
            <v>MOCOA-PUTUMAYO</v>
          </cell>
        </row>
        <row r="582">
          <cell r="J582" t="str">
            <v>MOGOTES-SANTANDER</v>
          </cell>
        </row>
        <row r="583">
          <cell r="J583" t="str">
            <v>MOLAGAVITA-SANTANDER</v>
          </cell>
        </row>
        <row r="584">
          <cell r="J584" t="str">
            <v>MOMIL-CORDOBA</v>
          </cell>
        </row>
        <row r="585">
          <cell r="J585" t="str">
            <v>MOMPOS-BOLIVAR</v>
          </cell>
        </row>
        <row r="586">
          <cell r="J586" t="str">
            <v>MONGUA-BOYACA</v>
          </cell>
        </row>
        <row r="587">
          <cell r="J587" t="str">
            <v>MONGUI-BOYACA</v>
          </cell>
        </row>
        <row r="588">
          <cell r="J588" t="str">
            <v>MONIQUIRA-BOYACA</v>
          </cell>
        </row>
        <row r="589">
          <cell r="J589" t="str">
            <v>MONITOS-CORDOBA</v>
          </cell>
        </row>
        <row r="590">
          <cell r="J590" t="str">
            <v>MONTEBELLO-ANTIOQUIA</v>
          </cell>
        </row>
        <row r="591">
          <cell r="J591" t="str">
            <v>MONTECRISTO-BOLIVAR</v>
          </cell>
        </row>
        <row r="592">
          <cell r="J592" t="str">
            <v>MONTELIBANO-CORDOBA</v>
          </cell>
        </row>
        <row r="593">
          <cell r="J593" t="str">
            <v>MONTENEGRO-QUINDIO</v>
          </cell>
        </row>
        <row r="594">
          <cell r="J594" t="str">
            <v>MONTERIA-CORDOBA</v>
          </cell>
        </row>
        <row r="595">
          <cell r="J595" t="str">
            <v>MONTERREY-CASANARE</v>
          </cell>
        </row>
        <row r="596">
          <cell r="J596" t="str">
            <v>MORALES-BOLIVAR</v>
          </cell>
        </row>
        <row r="597">
          <cell r="J597" t="str">
            <v>MORALES-CAUCA</v>
          </cell>
        </row>
        <row r="598">
          <cell r="J598" t="str">
            <v>MORELIA-CAQUETA</v>
          </cell>
        </row>
        <row r="599">
          <cell r="J599" t="str">
            <v>MORICHAL-GUAINIA</v>
          </cell>
        </row>
        <row r="600">
          <cell r="J600" t="str">
            <v>MORICHAL-GUAVIARE</v>
          </cell>
        </row>
        <row r="601">
          <cell r="J601" t="str">
            <v>MORROA-SUCRE</v>
          </cell>
        </row>
        <row r="602">
          <cell r="J602" t="str">
            <v>MOSQUERA-CUNDINAMARCA</v>
          </cell>
        </row>
        <row r="603">
          <cell r="J603" t="str">
            <v>MOSQUERA-NARINO</v>
          </cell>
        </row>
        <row r="604">
          <cell r="J604" t="str">
            <v>MOTAVITA-BOYACA</v>
          </cell>
        </row>
        <row r="605">
          <cell r="J605" t="str">
            <v>MURILLO-TOLIMA</v>
          </cell>
        </row>
        <row r="606">
          <cell r="J606" t="str">
            <v>MURINDO-ANTIOQUIA</v>
          </cell>
        </row>
        <row r="607">
          <cell r="J607" t="str">
            <v>MUTATA-ANTIOQUIA</v>
          </cell>
        </row>
        <row r="608">
          <cell r="J608" t="str">
            <v>MUTISCUA-NORTE DE SANTANDER</v>
          </cell>
        </row>
        <row r="609">
          <cell r="J609" t="str">
            <v>MUZO-BOYACA</v>
          </cell>
        </row>
        <row r="610">
          <cell r="J610" t="str">
            <v>NARINO-ANTIOQUIA</v>
          </cell>
        </row>
        <row r="611">
          <cell r="J611" t="str">
            <v>NARINO-CUNDINAMARCA</v>
          </cell>
        </row>
        <row r="612">
          <cell r="J612" t="str">
            <v>NARIÑO-NARINO</v>
          </cell>
        </row>
        <row r="613">
          <cell r="J613" t="str">
            <v>NATAGA-HUILA</v>
          </cell>
        </row>
        <row r="614">
          <cell r="J614" t="str">
            <v>NATAGAIMA-TOLIMA</v>
          </cell>
        </row>
        <row r="615">
          <cell r="J615" t="str">
            <v>NECHI-ANTIOQUIA</v>
          </cell>
        </row>
        <row r="616">
          <cell r="J616" t="str">
            <v>NECOCLI-ANTIOQUIA</v>
          </cell>
        </row>
        <row r="617">
          <cell r="J617" t="str">
            <v>NEIRA-CALDAS</v>
          </cell>
        </row>
        <row r="618">
          <cell r="J618" t="str">
            <v>NEIVA-HUILA</v>
          </cell>
        </row>
        <row r="619">
          <cell r="J619" t="str">
            <v>NEMOCON-CUNDINAMARCA</v>
          </cell>
        </row>
        <row r="620">
          <cell r="J620" t="str">
            <v>NILO-CUNDINAMARCA</v>
          </cell>
        </row>
        <row r="621">
          <cell r="J621" t="str">
            <v>NIMAIMA-CUNDINAMARCA</v>
          </cell>
        </row>
        <row r="622">
          <cell r="J622" t="str">
            <v>NOBSA-BOYACA</v>
          </cell>
        </row>
        <row r="623">
          <cell r="J623" t="str">
            <v>NOCAIMA-CUNDINAMARCA</v>
          </cell>
        </row>
        <row r="624">
          <cell r="J624" t="str">
            <v>NORCASIA-CALDAS</v>
          </cell>
        </row>
        <row r="625">
          <cell r="J625" t="str">
            <v>NOROSI-BOLIVAR</v>
          </cell>
        </row>
        <row r="626">
          <cell r="J626" t="str">
            <v>NOVITA-CHOCO</v>
          </cell>
        </row>
        <row r="627">
          <cell r="J627" t="str">
            <v>NUEVA-ANTIOQUIA-VICHADA</v>
          </cell>
        </row>
        <row r="628">
          <cell r="J628" t="str">
            <v>NUEVA-GRANADA-MAGDALENA</v>
          </cell>
        </row>
        <row r="629">
          <cell r="J629" t="str">
            <v>NUEVO-COLON-BOYACA</v>
          </cell>
        </row>
        <row r="630">
          <cell r="J630" t="str">
            <v>NUNCHIA-CASANARE</v>
          </cell>
        </row>
        <row r="631">
          <cell r="J631" t="str">
            <v>NUQUI-CHOCO</v>
          </cell>
        </row>
        <row r="632">
          <cell r="J632" t="str">
            <v>OBANDO-VALLE</v>
          </cell>
        </row>
        <row r="633">
          <cell r="J633" t="str">
            <v>OCAMONTE-SANTANDER</v>
          </cell>
        </row>
        <row r="634">
          <cell r="J634" t="str">
            <v>OCANA-NORTE DE SANTANDER</v>
          </cell>
        </row>
        <row r="635">
          <cell r="J635" t="str">
            <v>OIBA-SANTANDER</v>
          </cell>
        </row>
        <row r="636">
          <cell r="J636" t="str">
            <v>OICATA-BOYACA</v>
          </cell>
        </row>
        <row r="637">
          <cell r="J637" t="str">
            <v>OLAYA-ANTIOQUIA</v>
          </cell>
        </row>
        <row r="638">
          <cell r="J638" t="str">
            <v>OLAYA-HERRERA-NARINO</v>
          </cell>
        </row>
        <row r="639">
          <cell r="J639" t="str">
            <v>ONZAGA-SANTANDER</v>
          </cell>
        </row>
        <row r="640">
          <cell r="J640" t="str">
            <v>OPORAPA-HUILA</v>
          </cell>
        </row>
        <row r="641">
          <cell r="J641" t="str">
            <v>ORITO-PUTUMAYO</v>
          </cell>
        </row>
        <row r="642">
          <cell r="J642" t="str">
            <v>OROCUE-CASANARE</v>
          </cell>
        </row>
        <row r="643">
          <cell r="J643" t="str">
            <v>ORTEGA-TOLIMA</v>
          </cell>
        </row>
        <row r="644">
          <cell r="J644" t="str">
            <v>OSPINA-NARINO</v>
          </cell>
        </row>
        <row r="645">
          <cell r="J645" t="str">
            <v>OTANCHE-BOYACA</v>
          </cell>
        </row>
        <row r="646">
          <cell r="J646" t="str">
            <v>OVEJAS-SUCRE</v>
          </cell>
        </row>
        <row r="647">
          <cell r="J647" t="str">
            <v>PACHAVITA-BOYACA</v>
          </cell>
        </row>
        <row r="648">
          <cell r="J648" t="str">
            <v>PACHO-CUNDINAMARCA</v>
          </cell>
        </row>
        <row r="649">
          <cell r="J649" t="str">
            <v>PACOA-VAUPES</v>
          </cell>
        </row>
        <row r="650">
          <cell r="J650" t="str">
            <v>PACORA-CALDAS</v>
          </cell>
        </row>
        <row r="651">
          <cell r="J651" t="str">
            <v>PADILLA-CAUCA</v>
          </cell>
        </row>
        <row r="652">
          <cell r="J652" t="str">
            <v>PAEZ-BOYACA</v>
          </cell>
        </row>
        <row r="653">
          <cell r="J653" t="str">
            <v>PAEZ-CAUCA</v>
          </cell>
        </row>
        <row r="654">
          <cell r="J654" t="str">
            <v>PAICOL-HUILA</v>
          </cell>
        </row>
        <row r="655">
          <cell r="J655" t="str">
            <v>PAILITAS-CESAR</v>
          </cell>
        </row>
        <row r="656">
          <cell r="J656" t="str">
            <v>PAIME-CUNDINAMARCA</v>
          </cell>
        </row>
        <row r="657">
          <cell r="J657" t="str">
            <v>PAIPA-BOYACA</v>
          </cell>
        </row>
        <row r="658">
          <cell r="J658" t="str">
            <v>PAJARITO-BOYACA</v>
          </cell>
        </row>
        <row r="659">
          <cell r="J659" t="str">
            <v>PALERMO-HUILA</v>
          </cell>
        </row>
        <row r="660">
          <cell r="J660" t="str">
            <v>PALESTINA-CALDAS</v>
          </cell>
        </row>
        <row r="661">
          <cell r="J661" t="str">
            <v>PALESTINA-HUILA</v>
          </cell>
        </row>
        <row r="662">
          <cell r="J662" t="str">
            <v>PALMAR-DE-VARELA-ATLANTICO</v>
          </cell>
        </row>
        <row r="663">
          <cell r="J663" t="str">
            <v>PALMAR-SANTANDER</v>
          </cell>
        </row>
        <row r="664">
          <cell r="J664" t="str">
            <v>PALMAS-DEL-SOCORRO-SANTANDER</v>
          </cell>
        </row>
        <row r="665">
          <cell r="J665" t="str">
            <v>PALMIRA-VALLE</v>
          </cell>
        </row>
        <row r="666">
          <cell r="J666" t="str">
            <v>PALMITO-SUCRE</v>
          </cell>
        </row>
        <row r="667">
          <cell r="J667" t="str">
            <v>PALOCABILDO-TOLIMA</v>
          </cell>
        </row>
        <row r="668">
          <cell r="J668" t="str">
            <v>PAMPLONA-NORTE DE SANTANDER</v>
          </cell>
        </row>
        <row r="669">
          <cell r="J669" t="str">
            <v>PAMPLONITA-NORTE DE SANTANDER</v>
          </cell>
        </row>
        <row r="670">
          <cell r="J670" t="str">
            <v>PANA-PANA-GUAINIA</v>
          </cell>
        </row>
        <row r="671">
          <cell r="J671" t="str">
            <v>PANDI-CUNDINAMARCA</v>
          </cell>
        </row>
        <row r="672">
          <cell r="J672" t="str">
            <v>PANQUEBA-BOYACA</v>
          </cell>
        </row>
        <row r="673">
          <cell r="J673" t="str">
            <v>PAPUNAUA-VAUPES</v>
          </cell>
        </row>
        <row r="674">
          <cell r="J674" t="str">
            <v>PARAMO-SANTANDER</v>
          </cell>
        </row>
        <row r="675">
          <cell r="J675" t="str">
            <v>PARATEBUENO-CUNDINAMARCA</v>
          </cell>
        </row>
        <row r="676">
          <cell r="J676" t="str">
            <v>PASCA-CUNDINAMARCA</v>
          </cell>
        </row>
        <row r="677">
          <cell r="J677" t="str">
            <v>PASTO-NARINO</v>
          </cell>
        </row>
        <row r="678">
          <cell r="J678" t="str">
            <v>PATIA(EL-BORDO)-CAUCA</v>
          </cell>
        </row>
        <row r="679">
          <cell r="J679" t="str">
            <v>PAUNA-BOYACA</v>
          </cell>
        </row>
        <row r="680">
          <cell r="J680" t="str">
            <v>PAYA-BOYACA</v>
          </cell>
        </row>
        <row r="681">
          <cell r="J681" t="str">
            <v>PAZ-DE-ARIPORO-CASANARE</v>
          </cell>
        </row>
        <row r="682">
          <cell r="J682" t="str">
            <v>PAZ-DE-RIO-BOYACA</v>
          </cell>
        </row>
        <row r="683">
          <cell r="J683" t="str">
            <v>PEDRAZA-MAGDALENA</v>
          </cell>
        </row>
        <row r="684">
          <cell r="J684" t="str">
            <v>PELAYA-CESAR</v>
          </cell>
        </row>
        <row r="685">
          <cell r="J685" t="str">
            <v>PENOL-ANTIOQUIA</v>
          </cell>
        </row>
        <row r="686">
          <cell r="J686" t="str">
            <v>PENSILVANIA-CALDAS</v>
          </cell>
        </row>
        <row r="687">
          <cell r="J687" t="str">
            <v>PEQUE-ANTIOQUIA</v>
          </cell>
        </row>
        <row r="688">
          <cell r="J688" t="str">
            <v>PEREIRA-RISARALDA</v>
          </cell>
        </row>
        <row r="689">
          <cell r="J689" t="str">
            <v>PESCA-BOYACA</v>
          </cell>
        </row>
        <row r="690">
          <cell r="J690" t="str">
            <v>PIAMONTE-CAUCA</v>
          </cell>
        </row>
        <row r="691">
          <cell r="J691" t="str">
            <v>PIEDECUESTA-SANTANDER</v>
          </cell>
        </row>
        <row r="692">
          <cell r="J692" t="str">
            <v>PIEDRAS-TOLIMA</v>
          </cell>
        </row>
        <row r="693">
          <cell r="J693" t="str">
            <v>PIENDAMO-CAUCA</v>
          </cell>
        </row>
        <row r="694">
          <cell r="J694" t="str">
            <v>PIJAO-QUINDIO</v>
          </cell>
        </row>
        <row r="695">
          <cell r="J695" t="str">
            <v>PIJIÑO-DEL-CARMEN-MAGDALENA</v>
          </cell>
        </row>
        <row r="696">
          <cell r="J696" t="str">
            <v>PINCHOTE-SANTANDER</v>
          </cell>
        </row>
        <row r="697">
          <cell r="J697" t="str">
            <v>PINILLOS-BOLIVAR</v>
          </cell>
        </row>
        <row r="698">
          <cell r="J698" t="str">
            <v>PIOJO-ATLANTICO</v>
          </cell>
        </row>
        <row r="699">
          <cell r="J699" t="str">
            <v>PISVA-BOYACA</v>
          </cell>
        </row>
        <row r="700">
          <cell r="J700" t="str">
            <v>PITAL-HUILA</v>
          </cell>
        </row>
        <row r="701">
          <cell r="J701" t="str">
            <v>PITALITO-HUILA</v>
          </cell>
        </row>
        <row r="702">
          <cell r="J702" t="str">
            <v>PIVIJAY-MAGDALENA</v>
          </cell>
        </row>
        <row r="703">
          <cell r="J703" t="str">
            <v>PLANADAS-TOLIMA</v>
          </cell>
        </row>
        <row r="704">
          <cell r="J704" t="str">
            <v>PLANETA-RICA-CORDOBA</v>
          </cell>
        </row>
        <row r="705">
          <cell r="J705" t="str">
            <v>PLATO-MAGDALENA</v>
          </cell>
        </row>
        <row r="706">
          <cell r="J706" t="str">
            <v>POLICARPA-NARINO</v>
          </cell>
        </row>
        <row r="707">
          <cell r="J707" t="str">
            <v>POLONUEVO-ATLANTICO</v>
          </cell>
        </row>
        <row r="708">
          <cell r="J708" t="str">
            <v>PONEDERA-ATLANTICO</v>
          </cell>
        </row>
        <row r="709">
          <cell r="J709" t="str">
            <v>POPAYAN-CAUCA</v>
          </cell>
        </row>
        <row r="710">
          <cell r="J710" t="str">
            <v>PORE-CASANARE</v>
          </cell>
        </row>
        <row r="711">
          <cell r="J711" t="str">
            <v>POTOSI-NARINO</v>
          </cell>
        </row>
        <row r="712">
          <cell r="J712" t="str">
            <v>PRADERA-VALLE</v>
          </cell>
        </row>
        <row r="713">
          <cell r="J713" t="str">
            <v>PRADO-TOLIMA</v>
          </cell>
        </row>
        <row r="714">
          <cell r="J714" t="str">
            <v>PROVIDENCIA-NARINO</v>
          </cell>
        </row>
        <row r="715">
          <cell r="J715" t="str">
            <v>PROVIDENCIA-SAN ANDRES Y PROVIDENCIA</v>
          </cell>
        </row>
        <row r="716">
          <cell r="J716" t="str">
            <v>PUEBLO-BELLO-CESAR</v>
          </cell>
        </row>
        <row r="717">
          <cell r="J717" t="str">
            <v>PUEBLO-NUEVO-CORDOBA</v>
          </cell>
        </row>
        <row r="718">
          <cell r="J718" t="str">
            <v>PUEBLO-RICO-RISARALDA</v>
          </cell>
        </row>
        <row r="719">
          <cell r="J719" t="str">
            <v>PUEBLORRICO-ANTIOQUIA</v>
          </cell>
        </row>
        <row r="720">
          <cell r="J720" t="str">
            <v>PUEBLOVIEJO-MAGDALENA</v>
          </cell>
        </row>
        <row r="721">
          <cell r="J721" t="str">
            <v>PUENTE-NACIONAL-SANTANDER</v>
          </cell>
        </row>
        <row r="722">
          <cell r="J722" t="str">
            <v>PUERRES-NARINO</v>
          </cell>
        </row>
        <row r="723">
          <cell r="J723" t="str">
            <v>PUERTO-ALEGRIA-AMAZONAS</v>
          </cell>
        </row>
        <row r="724">
          <cell r="J724" t="str">
            <v>PUERTO-ARICA-AMAZONAS</v>
          </cell>
        </row>
        <row r="725">
          <cell r="J725" t="str">
            <v>PUERTO-ASIS-PUTUMAYO</v>
          </cell>
        </row>
        <row r="726">
          <cell r="J726" t="str">
            <v>PUERTO-BERRIO-ANTIOQUIA</v>
          </cell>
        </row>
        <row r="727">
          <cell r="J727" t="str">
            <v>PUERTO-BOYACA-BOYACA</v>
          </cell>
        </row>
        <row r="728">
          <cell r="J728" t="str">
            <v>PUERTO-CAICEDO-PUTUMAYO</v>
          </cell>
        </row>
        <row r="729">
          <cell r="J729" t="str">
            <v>PUERTO-CARRENO-VICHADA</v>
          </cell>
        </row>
        <row r="730">
          <cell r="J730" t="str">
            <v>PUERTO-COLOMBIA-ATLANTICO</v>
          </cell>
        </row>
        <row r="731">
          <cell r="J731" t="str">
            <v>PUERTO-COLOMBIA-GUAINIA</v>
          </cell>
        </row>
        <row r="732">
          <cell r="J732" t="str">
            <v>PUERTO-CONCORDIA-META</v>
          </cell>
        </row>
        <row r="733">
          <cell r="J733" t="str">
            <v>PUERTO-ESCONDIDO-CORDOBA</v>
          </cell>
        </row>
        <row r="734">
          <cell r="J734" t="str">
            <v>PUERTO-GAITAN-META</v>
          </cell>
        </row>
        <row r="735">
          <cell r="J735" t="str">
            <v>PUERTO-GUZMÁN-PUTUMAYO</v>
          </cell>
        </row>
        <row r="736">
          <cell r="J736" t="str">
            <v>PUERTO-LIBERTADOR-CORDOBA</v>
          </cell>
        </row>
        <row r="737">
          <cell r="J737" t="str">
            <v>PUERTO-LLERAS-META</v>
          </cell>
        </row>
        <row r="738">
          <cell r="J738" t="str">
            <v>PUERTO-LOPEZ-META</v>
          </cell>
        </row>
        <row r="739">
          <cell r="J739" t="str">
            <v>PUERTO-NARE-ANTIOQUIA</v>
          </cell>
        </row>
        <row r="740">
          <cell r="J740" t="str">
            <v>PUERTO-NARINO-AMAZONAS</v>
          </cell>
        </row>
        <row r="741">
          <cell r="J741" t="str">
            <v>PUERTO-PARRA-SANTANDER</v>
          </cell>
        </row>
        <row r="742">
          <cell r="J742" t="str">
            <v>PUERTO-RICO-CAQUETA</v>
          </cell>
        </row>
        <row r="743">
          <cell r="J743" t="str">
            <v>PUERTO-RICO-META</v>
          </cell>
        </row>
        <row r="744">
          <cell r="J744" t="str">
            <v>PUERTO-RONDON-ARAUCA</v>
          </cell>
        </row>
        <row r="745">
          <cell r="J745" t="str">
            <v>PUERTO-SALGAR-CUNDINAMARCA</v>
          </cell>
        </row>
        <row r="746">
          <cell r="J746" t="str">
            <v>PUERTO-SANTANDER-AMAZONAS</v>
          </cell>
        </row>
        <row r="747">
          <cell r="J747" t="str">
            <v>PUERTO-SANTANDER-NORTE DE SANTANDER</v>
          </cell>
        </row>
        <row r="748">
          <cell r="J748" t="str">
            <v>PUERTO-TEJADA-CAUCA</v>
          </cell>
        </row>
        <row r="749">
          <cell r="J749" t="str">
            <v>PUERTO-TRIUNFO-ANTIOQUIA</v>
          </cell>
        </row>
        <row r="750">
          <cell r="J750" t="str">
            <v>PUERTO-WILCHES-SANTANDER</v>
          </cell>
        </row>
        <row r="751">
          <cell r="J751" t="str">
            <v>PULI-CUNDINAMARCA</v>
          </cell>
        </row>
        <row r="752">
          <cell r="J752" t="str">
            <v>PUPIALES-NARINO</v>
          </cell>
        </row>
        <row r="753">
          <cell r="J753" t="str">
            <v>PURACE-CAUCA</v>
          </cell>
        </row>
        <row r="754">
          <cell r="J754" t="str">
            <v>PURIFICACION-TOLIMA</v>
          </cell>
        </row>
        <row r="755">
          <cell r="J755" t="str">
            <v>PURISIMA-CORDOBA</v>
          </cell>
        </row>
        <row r="756">
          <cell r="J756" t="str">
            <v>QUEBRADANEGRA-CUNDINAMARCA</v>
          </cell>
        </row>
        <row r="757">
          <cell r="J757" t="str">
            <v>QUETAME-CUNDINAMARCA</v>
          </cell>
        </row>
        <row r="758">
          <cell r="J758" t="str">
            <v>QUIBDO-CHOCO</v>
          </cell>
        </row>
        <row r="759">
          <cell r="J759" t="str">
            <v>QUIMBAYA-QUINDIO</v>
          </cell>
        </row>
        <row r="760">
          <cell r="J760" t="str">
            <v>QUINCHIA-RISARALDA</v>
          </cell>
        </row>
        <row r="761">
          <cell r="J761" t="str">
            <v>QUIPAMA-BOYACA</v>
          </cell>
        </row>
        <row r="762">
          <cell r="J762" t="str">
            <v>QUIPILE-CUNDINAMARCA</v>
          </cell>
        </row>
        <row r="763">
          <cell r="J763" t="str">
            <v>RAGONVALIA-NORTE DE SANTANDER</v>
          </cell>
        </row>
        <row r="764">
          <cell r="J764" t="str">
            <v>RAMIRIQUI-BOYACA</v>
          </cell>
        </row>
        <row r="765">
          <cell r="J765" t="str">
            <v>RAQUIRA-BOYACA</v>
          </cell>
        </row>
        <row r="766">
          <cell r="J766" t="str">
            <v>RECETOR-CASANARE</v>
          </cell>
        </row>
        <row r="767">
          <cell r="J767" t="str">
            <v>REGIDOR-BOLIVAR</v>
          </cell>
        </row>
        <row r="768">
          <cell r="J768" t="str">
            <v>REMEDIOS-ANTIOQUIA</v>
          </cell>
        </row>
        <row r="769">
          <cell r="J769" t="str">
            <v>REMOLINO-MAGDALENA</v>
          </cell>
        </row>
        <row r="770">
          <cell r="J770" t="str">
            <v>REPELON-ATLANTICO</v>
          </cell>
        </row>
        <row r="771">
          <cell r="J771" t="str">
            <v>RESTREPO-META</v>
          </cell>
        </row>
        <row r="772">
          <cell r="J772" t="str">
            <v>RESTREPO-VALLE</v>
          </cell>
        </row>
        <row r="773">
          <cell r="J773" t="str">
            <v>RETIRO-ANTIOQUIA</v>
          </cell>
        </row>
        <row r="774">
          <cell r="J774" t="str">
            <v>RICAURTE-CUNDINAMARCA</v>
          </cell>
        </row>
        <row r="775">
          <cell r="J775" t="str">
            <v>RICAURTE-NARINO</v>
          </cell>
        </row>
        <row r="776">
          <cell r="J776" t="str">
            <v>RIO-DE-ORO-CESAR</v>
          </cell>
        </row>
        <row r="777">
          <cell r="J777" t="str">
            <v>RIO-VIEJO-BOLIVAR</v>
          </cell>
        </row>
        <row r="778">
          <cell r="J778" t="str">
            <v>RIOBLANCO-TOLIMA</v>
          </cell>
        </row>
        <row r="779">
          <cell r="J779" t="str">
            <v>RIOFRIO-VALLE</v>
          </cell>
        </row>
        <row r="780">
          <cell r="J780" t="str">
            <v>RIOHACHA-LA GUAJIRA</v>
          </cell>
        </row>
        <row r="781">
          <cell r="J781" t="str">
            <v>RIONEGRO-ANTIOQUIA</v>
          </cell>
        </row>
        <row r="782">
          <cell r="J782" t="str">
            <v>RIONEGRO-SANTANDER</v>
          </cell>
        </row>
        <row r="783">
          <cell r="J783" t="str">
            <v>RIOSUCIO-CALDAS</v>
          </cell>
        </row>
        <row r="784">
          <cell r="J784" t="str">
            <v>RIOSUCIO-CHOCO</v>
          </cell>
        </row>
        <row r="785">
          <cell r="J785" t="str">
            <v>RISARALDA-CALDAS</v>
          </cell>
        </row>
        <row r="786">
          <cell r="J786" t="str">
            <v>RIVERA-HUILA</v>
          </cell>
        </row>
        <row r="787">
          <cell r="J787" t="str">
            <v>ROBERTO-PAYAN-NARINO</v>
          </cell>
        </row>
        <row r="788">
          <cell r="J788" t="str">
            <v>ROLDANILLO-VALLE</v>
          </cell>
        </row>
        <row r="789">
          <cell r="J789" t="str">
            <v>RONCESVALLES-TOLIMA</v>
          </cell>
        </row>
        <row r="790">
          <cell r="J790" t="str">
            <v>RONDON-BOYACA</v>
          </cell>
        </row>
        <row r="791">
          <cell r="J791" t="str">
            <v>ROSAS-CAUCA</v>
          </cell>
        </row>
        <row r="792">
          <cell r="J792" t="str">
            <v>ROVIRA-TOLIMA</v>
          </cell>
        </row>
        <row r="793">
          <cell r="J793" t="str">
            <v>RÍO-IRO-CHOCO</v>
          </cell>
        </row>
        <row r="794">
          <cell r="J794" t="str">
            <v>RÍO-QUITO-CHOCO</v>
          </cell>
        </row>
        <row r="795">
          <cell r="J795" t="str">
            <v>SABANA-DE-TORRES-SANTANDER</v>
          </cell>
        </row>
        <row r="796">
          <cell r="J796" t="str">
            <v>SABANAGRANDE-ATLANTICO</v>
          </cell>
        </row>
        <row r="797">
          <cell r="J797" t="str">
            <v>SABANALARGA-ANTIOQUIA</v>
          </cell>
        </row>
        <row r="798">
          <cell r="J798" t="str">
            <v>SABANALARGA-ATLANTICO</v>
          </cell>
        </row>
        <row r="799">
          <cell r="J799" t="str">
            <v>SABANALARGA-CASANARE</v>
          </cell>
        </row>
        <row r="800">
          <cell r="J800" t="str">
            <v>SABANAS-DE-SAN-ANGEL-MAGDALENA</v>
          </cell>
        </row>
        <row r="801">
          <cell r="J801" t="str">
            <v>SABANETA-ANTIOQUIA</v>
          </cell>
        </row>
        <row r="802">
          <cell r="J802" t="str">
            <v>SABOYA-BOYACA</v>
          </cell>
        </row>
        <row r="803">
          <cell r="J803" t="str">
            <v>SACAMA-CASANARE</v>
          </cell>
        </row>
        <row r="804">
          <cell r="J804" t="str">
            <v>SACHICA-BOYACA</v>
          </cell>
        </row>
        <row r="805">
          <cell r="J805" t="str">
            <v>SAHAGUN-CORDOBA</v>
          </cell>
        </row>
        <row r="806">
          <cell r="J806" t="str">
            <v>SALADOBLANCO-HUILA</v>
          </cell>
        </row>
        <row r="807">
          <cell r="J807" t="str">
            <v>SALAMINA-CALDAS</v>
          </cell>
        </row>
        <row r="808">
          <cell r="J808" t="str">
            <v>SALAMINA-MAGDALENA</v>
          </cell>
        </row>
        <row r="809">
          <cell r="J809" t="str">
            <v>SALAZAR-NORTE DE SANTANDER</v>
          </cell>
        </row>
        <row r="810">
          <cell r="J810" t="str">
            <v>SALDANA-TOLIMA</v>
          </cell>
        </row>
        <row r="811">
          <cell r="J811" t="str">
            <v>SALENTO-QUINDIO</v>
          </cell>
        </row>
        <row r="812">
          <cell r="J812" t="str">
            <v>SALGAR-ANTIOQUIA</v>
          </cell>
        </row>
        <row r="813">
          <cell r="J813" t="str">
            <v>SAMACA-BOYACA</v>
          </cell>
        </row>
        <row r="814">
          <cell r="J814" t="str">
            <v>SAMANA-CALDAS</v>
          </cell>
        </row>
        <row r="815">
          <cell r="J815" t="str">
            <v>SAMANIEGO-NARINO</v>
          </cell>
        </row>
        <row r="816">
          <cell r="J816" t="str">
            <v>SAMPUES-SUCRE</v>
          </cell>
        </row>
        <row r="817">
          <cell r="J817" t="str">
            <v>SAN-AGUSTIN-HUILA</v>
          </cell>
        </row>
        <row r="818">
          <cell r="J818" t="str">
            <v>SAN-ALBERTO-CESAR</v>
          </cell>
        </row>
        <row r="819">
          <cell r="J819" t="str">
            <v>SAN-ANDRES-ANTIOQUIA</v>
          </cell>
        </row>
        <row r="820">
          <cell r="J820" t="str">
            <v>SAN-ANDRES-DE-SOTAVENTO-CORDOBA</v>
          </cell>
        </row>
        <row r="821">
          <cell r="J821" t="str">
            <v>SAN-ANDRES-SAN ANDRES Y PROVIDENCIA</v>
          </cell>
        </row>
        <row r="822">
          <cell r="J822" t="str">
            <v>SAN-ANDRES-SANTANDER</v>
          </cell>
        </row>
        <row r="823">
          <cell r="J823" t="str">
            <v>SAN-ANTERO-CORDOBA</v>
          </cell>
        </row>
        <row r="824">
          <cell r="J824" t="str">
            <v>SAN-ANTONIO-DEL-TEQUENDAMA-CUNDINAMARCA</v>
          </cell>
        </row>
        <row r="825">
          <cell r="J825" t="str">
            <v>SAN-ANTONIO-TOLIMA</v>
          </cell>
        </row>
        <row r="826">
          <cell r="J826" t="str">
            <v>SAN-BENITO-ABAD-SUCRE</v>
          </cell>
        </row>
        <row r="827">
          <cell r="J827" t="str">
            <v>SAN-BENITO-SANTANDER</v>
          </cell>
        </row>
        <row r="828">
          <cell r="J828" t="str">
            <v>SAN-BERNARDO-CUNDINAMARCA</v>
          </cell>
        </row>
        <row r="829">
          <cell r="J829" t="str">
            <v>SAN-BERNARDO-DEL-VIENTO-CORDOBA</v>
          </cell>
        </row>
        <row r="830">
          <cell r="J830" t="str">
            <v>SAN-BERNARDO-NARINO</v>
          </cell>
        </row>
        <row r="831">
          <cell r="J831" t="str">
            <v>SAN-CALIXTO-NORTE DE SANTANDER</v>
          </cell>
        </row>
        <row r="832">
          <cell r="J832" t="str">
            <v>SAN-CARLOS-ANTIOQUIA</v>
          </cell>
        </row>
        <row r="833">
          <cell r="J833" t="str">
            <v>SAN-CARLOS-CORDOBA</v>
          </cell>
        </row>
        <row r="834">
          <cell r="J834" t="str">
            <v>SAN-CARLOS-DE-GUAR0A-META</v>
          </cell>
        </row>
        <row r="835">
          <cell r="J835" t="str">
            <v>SAN-CAYETANO-CUNDINAMARCA</v>
          </cell>
        </row>
        <row r="836">
          <cell r="J836" t="str">
            <v>SAN-CAYETANO-NORTE DE SANTANDER</v>
          </cell>
        </row>
        <row r="837">
          <cell r="J837" t="str">
            <v>SAN-CRISTÓBAL-BOLIVAR</v>
          </cell>
        </row>
        <row r="838">
          <cell r="J838" t="str">
            <v>SAN-DIEGO-CESAR</v>
          </cell>
        </row>
        <row r="839">
          <cell r="J839" t="str">
            <v>SAN-EDUARDO-BOYACA</v>
          </cell>
        </row>
        <row r="840">
          <cell r="J840" t="str">
            <v>SAN-ESTANISLAO-BOLIVAR</v>
          </cell>
        </row>
        <row r="841">
          <cell r="J841" t="str">
            <v>SAN-FELIPE-GUAINIA</v>
          </cell>
        </row>
        <row r="842">
          <cell r="J842" t="str">
            <v>SAN-FERNANDO-BOLIVAR</v>
          </cell>
        </row>
        <row r="843">
          <cell r="J843" t="str">
            <v>SAN-FRANCISCO-ANTIOQUIA</v>
          </cell>
        </row>
        <row r="844">
          <cell r="J844" t="str">
            <v>SAN-FRANCISCO-CUNDINAMARCA</v>
          </cell>
        </row>
        <row r="845">
          <cell r="J845" t="str">
            <v>SAN-FRANCISCO-PUTUMAYO</v>
          </cell>
        </row>
        <row r="846">
          <cell r="J846" t="str">
            <v>SAN-GIL-SANTANDER</v>
          </cell>
        </row>
        <row r="847">
          <cell r="J847" t="str">
            <v>SAN-JACINTO-BOLIVAR</v>
          </cell>
        </row>
        <row r="848">
          <cell r="J848" t="str">
            <v>SAN-JACINTO-DEL-CAUCA-BOLIVAR</v>
          </cell>
        </row>
        <row r="849">
          <cell r="J849" t="str">
            <v>SAN-JERONIMO-ANTIOQUIA</v>
          </cell>
        </row>
        <row r="850">
          <cell r="J850" t="str">
            <v>SAN-JOAQUIN-SANTANDER</v>
          </cell>
        </row>
        <row r="851">
          <cell r="J851" t="str">
            <v>SAN-JOSE-DE-FRAGUA-CAQUETA</v>
          </cell>
        </row>
        <row r="852">
          <cell r="J852" t="str">
            <v>SAN-JOSE-DE-LA-MONTANA-ANTIOQUIA</v>
          </cell>
        </row>
        <row r="853">
          <cell r="J853" t="str">
            <v>SAN-JOSE-DE-MIRANDA-SANTANDER</v>
          </cell>
        </row>
        <row r="854">
          <cell r="J854" t="str">
            <v>SAN-JOSE-DE-OCUNE-VICHADA</v>
          </cell>
        </row>
        <row r="855">
          <cell r="J855" t="str">
            <v>SAN-JOSE-DE-PARE-BOYACA</v>
          </cell>
        </row>
        <row r="856">
          <cell r="J856" t="str">
            <v>SAN-JOSE-DE-URE-CORDOBA</v>
          </cell>
        </row>
        <row r="857">
          <cell r="J857" t="str">
            <v>SAN-JOSE-DEL-GUAVIARE-GUAVIARE</v>
          </cell>
        </row>
        <row r="858">
          <cell r="J858" t="str">
            <v>SAN-JOSE-DEL-PALMAR-CHOCO</v>
          </cell>
        </row>
        <row r="859">
          <cell r="J859" t="str">
            <v>SAN-JOSÉ-CALDAS</v>
          </cell>
        </row>
        <row r="860">
          <cell r="J860" t="str">
            <v>SAN-JUAN-DE-ARAMA-META</v>
          </cell>
        </row>
        <row r="861">
          <cell r="J861" t="str">
            <v>SAN-JUAN-DE-BETULIA-SUCRE</v>
          </cell>
        </row>
        <row r="862">
          <cell r="J862" t="str">
            <v>SAN-JUAN-DE-RIOSECO-CUNDINAMARCA</v>
          </cell>
        </row>
        <row r="863">
          <cell r="J863" t="str">
            <v>SAN-JUAN-DE-URABA-ANTIOQUIA</v>
          </cell>
        </row>
        <row r="864">
          <cell r="J864" t="str">
            <v>SAN-JUAN-DEL-CESAR-LA GUAJIRA</v>
          </cell>
        </row>
        <row r="865">
          <cell r="J865" t="str">
            <v>SAN-JUAN-NEPOMUCENO-BOLIVAR</v>
          </cell>
        </row>
        <row r="866">
          <cell r="J866" t="str">
            <v>SAN-JUANITO-META</v>
          </cell>
        </row>
        <row r="867">
          <cell r="J867" t="str">
            <v>SAN-LORENZO-NARINO</v>
          </cell>
        </row>
        <row r="868">
          <cell r="J868" t="str">
            <v>SAN-LUIS-ANTIOQUIA</v>
          </cell>
        </row>
        <row r="869">
          <cell r="J869" t="str">
            <v>SAN-LUIS-DE-GACENO-BOYACA</v>
          </cell>
        </row>
        <row r="870">
          <cell r="J870" t="str">
            <v>SAN-LUIS-DE-PALENQUE-CASANARE</v>
          </cell>
        </row>
        <row r="871">
          <cell r="J871" t="str">
            <v>SAN-LUIS-TOLIMA</v>
          </cell>
        </row>
        <row r="872">
          <cell r="J872" t="str">
            <v>SAN-MARCOS-SUCRE</v>
          </cell>
        </row>
        <row r="873">
          <cell r="J873" t="str">
            <v>SAN-MARTIN-CESAR</v>
          </cell>
        </row>
        <row r="874">
          <cell r="J874" t="str">
            <v>SAN-MARTIN-DE-LOBA-BOLIVAR</v>
          </cell>
        </row>
        <row r="875">
          <cell r="J875" t="str">
            <v>SAN-MARTIN-META</v>
          </cell>
        </row>
        <row r="876">
          <cell r="J876" t="str">
            <v>SAN-MATEO-BOYACA</v>
          </cell>
        </row>
        <row r="877">
          <cell r="J877" t="str">
            <v>SAN-MIGUEL-DE-SEMA-BOYACA</v>
          </cell>
        </row>
        <row r="878">
          <cell r="J878" t="str">
            <v>SAN-MIGUEL-PUTUMAYO</v>
          </cell>
        </row>
        <row r="879">
          <cell r="J879" t="str">
            <v>SAN-MIGUEL-SANTANDER</v>
          </cell>
        </row>
        <row r="880">
          <cell r="J880" t="str">
            <v>SAN-ONOFRE-SUCRE</v>
          </cell>
        </row>
        <row r="881">
          <cell r="J881" t="str">
            <v>SAN-PABLO-BOLIVAR</v>
          </cell>
        </row>
        <row r="882">
          <cell r="J882" t="str">
            <v>SAN-PABLO-DE-BORBUR-BOYACA</v>
          </cell>
        </row>
        <row r="883">
          <cell r="J883" t="str">
            <v>SAN-PABLO-NARINO</v>
          </cell>
        </row>
        <row r="884">
          <cell r="J884" t="str">
            <v>SAN-PEDRO-ANTIOQUIA</v>
          </cell>
        </row>
        <row r="885">
          <cell r="J885" t="str">
            <v>SAN-PEDRO-DE-CARTAGO-NARINO</v>
          </cell>
        </row>
        <row r="886">
          <cell r="J886" t="str">
            <v>SAN-PEDRO-DE-URABA-ANTIOQUIA</v>
          </cell>
        </row>
        <row r="887">
          <cell r="J887" t="str">
            <v>SAN-PEDRO-SUCRE</v>
          </cell>
        </row>
        <row r="888">
          <cell r="J888" t="str">
            <v>SAN-PEDRO-VALLE</v>
          </cell>
        </row>
        <row r="889">
          <cell r="J889" t="str">
            <v>SAN-PELAYO-CORDOBA</v>
          </cell>
        </row>
        <row r="890">
          <cell r="J890" t="str">
            <v>SAN-RAFAEL-ANTIOQUIA</v>
          </cell>
        </row>
        <row r="891">
          <cell r="J891" t="str">
            <v>SAN-ROQUE-ANTIOQUIA</v>
          </cell>
        </row>
        <row r="892">
          <cell r="J892" t="str">
            <v>SAN-SEBASTIAN-CAUCA</v>
          </cell>
        </row>
        <row r="893">
          <cell r="J893" t="str">
            <v>SAN-SEBASTIAN-DE-BUENAVISMAGDALENA</v>
          </cell>
        </row>
        <row r="894">
          <cell r="J894" t="str">
            <v>SAN-VICENTE-ANTIOQUIA</v>
          </cell>
        </row>
        <row r="895">
          <cell r="J895" t="str">
            <v>SAN-VICENTE-DE-CHUCURI-SANTANDER</v>
          </cell>
        </row>
        <row r="896">
          <cell r="J896" t="str">
            <v>SAN-VICENTE-DEL-CAGUAN-CAQUETA</v>
          </cell>
        </row>
        <row r="897">
          <cell r="J897" t="str">
            <v>SAN-ZENON-MAGDALENA</v>
          </cell>
        </row>
        <row r="898">
          <cell r="J898" t="str">
            <v>SANDONA-NARINO</v>
          </cell>
        </row>
        <row r="899">
          <cell r="J899" t="str">
            <v>SANTA-ANA-MAGDALENA</v>
          </cell>
        </row>
        <row r="900">
          <cell r="J900" t="str">
            <v>SANTA-BARBARA-ANTIOQUIA</v>
          </cell>
        </row>
        <row r="901">
          <cell r="J901" t="str">
            <v>SANTA-BARBARA-NARINO</v>
          </cell>
        </row>
        <row r="902">
          <cell r="J902" t="str">
            <v>SANTA-BARBARA-SANTANDER</v>
          </cell>
        </row>
        <row r="903">
          <cell r="J903" t="str">
            <v>SANTA-BÁRBARA-DE-PINTO-MAGDALENA</v>
          </cell>
        </row>
        <row r="904">
          <cell r="J904" t="str">
            <v>SANTA-CATALINA-BOLIVAR</v>
          </cell>
        </row>
        <row r="905">
          <cell r="J905" t="str">
            <v>SANTA-HELENA-DEL-OPON-SANTANDER</v>
          </cell>
        </row>
        <row r="906">
          <cell r="J906" t="str">
            <v>SANTA-ISABEL-TOLIMA</v>
          </cell>
        </row>
        <row r="907">
          <cell r="J907" t="str">
            <v>SANTA-LUCIA-ATLANTICO</v>
          </cell>
        </row>
        <row r="908">
          <cell r="J908" t="str">
            <v>SANTA-MARIA-BOYACA</v>
          </cell>
        </row>
        <row r="909">
          <cell r="J909" t="str">
            <v>SANTA-MARTA-MAGDALENA</v>
          </cell>
        </row>
        <row r="910">
          <cell r="J910" t="str">
            <v>SANTA-RITA-VICHADA</v>
          </cell>
        </row>
        <row r="911">
          <cell r="J911" t="str">
            <v>SANTA-ROSA-BOLIVAR</v>
          </cell>
        </row>
        <row r="912">
          <cell r="J912" t="str">
            <v>SANTA-ROSA-CAUCA</v>
          </cell>
        </row>
        <row r="913">
          <cell r="J913" t="str">
            <v>SANTA-ROSA-DE-CABAL-RISARALDA</v>
          </cell>
        </row>
        <row r="914">
          <cell r="J914" t="str">
            <v>SANTA-ROSA-DE-OSOS-ANTIOQUIA</v>
          </cell>
        </row>
        <row r="915">
          <cell r="J915" t="str">
            <v>SANTA-ROSA-DE-VITERBO-BOYACA</v>
          </cell>
        </row>
        <row r="916">
          <cell r="J916" t="str">
            <v>SANTA-ROSA-DEL-SUR-BOLIVAR</v>
          </cell>
        </row>
        <row r="917">
          <cell r="J917" t="str">
            <v>SANTA-ROSALIA-VICHADA</v>
          </cell>
        </row>
        <row r="918">
          <cell r="J918" t="str">
            <v>SANTA-SOFIA-BOYACA</v>
          </cell>
        </row>
        <row r="919">
          <cell r="J919" t="str">
            <v>SANTACRUZ-NARINO</v>
          </cell>
        </row>
        <row r="920">
          <cell r="J920" t="str">
            <v>SANTAMARIA-HUILA</v>
          </cell>
        </row>
        <row r="921">
          <cell r="J921" t="str">
            <v>SANTANA-BOYACA</v>
          </cell>
        </row>
        <row r="922">
          <cell r="J922" t="str">
            <v>SANTANDER-DE-QUILICHAO-CAUCA</v>
          </cell>
        </row>
        <row r="923">
          <cell r="J923" t="str">
            <v>SANTIAGO-NORTE DE SANTANDER</v>
          </cell>
        </row>
        <row r="924">
          <cell r="J924" t="str">
            <v>SANTIAGO-PUTUMAYO</v>
          </cell>
        </row>
        <row r="925">
          <cell r="J925" t="str">
            <v>SANTIVANORTE-BOYACA</v>
          </cell>
        </row>
        <row r="926">
          <cell r="J926" t="str">
            <v>SANTIVASUR-BOYACA</v>
          </cell>
        </row>
        <row r="927">
          <cell r="J927" t="str">
            <v>SANTO-DOMINGO-ANTIOQUIA</v>
          </cell>
        </row>
        <row r="928">
          <cell r="J928" t="str">
            <v>SANTO-TOMAS-ATLANTICO</v>
          </cell>
        </row>
        <row r="929">
          <cell r="J929" t="str">
            <v>SANTUARIO-ANTIOQUIA</v>
          </cell>
        </row>
        <row r="930">
          <cell r="J930" t="str">
            <v>SAPUYES-NARINO</v>
          </cell>
        </row>
        <row r="931">
          <cell r="J931" t="str">
            <v>SARAVENA-ARAUCA</v>
          </cell>
        </row>
        <row r="932">
          <cell r="J932" t="str">
            <v>SARDINATA-NORTE DE SANTANDER</v>
          </cell>
        </row>
        <row r="933">
          <cell r="J933" t="str">
            <v>SASAIMA-CUNDINAMARCA</v>
          </cell>
        </row>
        <row r="934">
          <cell r="J934" t="str">
            <v>SATUARIO-RISARALDA</v>
          </cell>
        </row>
        <row r="935">
          <cell r="J935" t="str">
            <v>SEGOVIA-ANTIOQUIA</v>
          </cell>
        </row>
        <row r="936">
          <cell r="J936" t="str">
            <v>SESQUILE-CUNDINAMARCA</v>
          </cell>
        </row>
        <row r="937">
          <cell r="J937" t="str">
            <v>SEVILLA-VALLE</v>
          </cell>
        </row>
        <row r="938">
          <cell r="J938" t="str">
            <v>SIACHOQUE-BOYACA</v>
          </cell>
        </row>
        <row r="939">
          <cell r="J939" t="str">
            <v>SIBATE-CUNDINAMARCA</v>
          </cell>
        </row>
        <row r="940">
          <cell r="J940" t="str">
            <v>SIBUNDOY-PUTUMAYO</v>
          </cell>
        </row>
        <row r="941">
          <cell r="J941" t="str">
            <v>SILOS-NORTE DE SANTANDER</v>
          </cell>
        </row>
        <row r="942">
          <cell r="J942" t="str">
            <v>SILVANIA-CUNDINAMARCA</v>
          </cell>
        </row>
        <row r="943">
          <cell r="J943" t="str">
            <v>SILVIA-CAUCA</v>
          </cell>
        </row>
        <row r="944">
          <cell r="J944" t="str">
            <v>SIMACOTA-SANTANDER</v>
          </cell>
        </row>
        <row r="945">
          <cell r="J945" t="str">
            <v>SIMIJACA-CUNDINAMARCA</v>
          </cell>
        </row>
        <row r="946">
          <cell r="J946" t="str">
            <v>SIMITI-BOLIVAR</v>
          </cell>
        </row>
        <row r="947">
          <cell r="J947" t="str">
            <v>SINCE-SUCRE</v>
          </cell>
        </row>
        <row r="948">
          <cell r="J948" t="str">
            <v>SINCELEJO-SUCRE</v>
          </cell>
        </row>
        <row r="949">
          <cell r="J949" t="str">
            <v>SIPI-CHOCO</v>
          </cell>
        </row>
        <row r="950">
          <cell r="J950" t="str">
            <v>SITIONUEVO-MAGDALENA</v>
          </cell>
        </row>
        <row r="951">
          <cell r="J951" t="str">
            <v>SOACHA-CUNDINAMARCA</v>
          </cell>
        </row>
        <row r="952">
          <cell r="J952" t="str">
            <v>SOATA-BOYACA</v>
          </cell>
        </row>
        <row r="953">
          <cell r="J953" t="str">
            <v>SOCHA-BOYACA</v>
          </cell>
        </row>
        <row r="954">
          <cell r="J954" t="str">
            <v>SOCORRO-SANTANDER</v>
          </cell>
        </row>
        <row r="955">
          <cell r="J955" t="str">
            <v>SOCOTA-BOYACA</v>
          </cell>
        </row>
        <row r="956">
          <cell r="J956" t="str">
            <v>SOGAMOSO-BOYACA</v>
          </cell>
        </row>
        <row r="957">
          <cell r="J957" t="str">
            <v>SOLANO-CAQUETA</v>
          </cell>
        </row>
        <row r="958">
          <cell r="J958" t="str">
            <v>SOLEDAD-ATLANTICO</v>
          </cell>
        </row>
        <row r="959">
          <cell r="J959" t="str">
            <v>SOLITA-CAQUETA</v>
          </cell>
        </row>
        <row r="960">
          <cell r="J960" t="str">
            <v>SOMONDOCO-BOYACA</v>
          </cell>
        </row>
        <row r="961">
          <cell r="J961" t="str">
            <v>SONSON-ANTIOQUIA</v>
          </cell>
        </row>
        <row r="962">
          <cell r="J962" t="str">
            <v>SOPETRAN-ANTIOQUIA</v>
          </cell>
        </row>
        <row r="963">
          <cell r="J963" t="str">
            <v>SOPLAVIENTO-BOLIVAR</v>
          </cell>
        </row>
        <row r="964">
          <cell r="J964" t="str">
            <v>SOPO-CUNDINAMARCA</v>
          </cell>
        </row>
        <row r="965">
          <cell r="J965" t="str">
            <v>SORA-BOYACA</v>
          </cell>
        </row>
        <row r="966">
          <cell r="J966" t="str">
            <v>SORACA-BOYACA</v>
          </cell>
        </row>
        <row r="967">
          <cell r="J967" t="str">
            <v>SOTAQUIRA-BOYACA</v>
          </cell>
        </row>
        <row r="968">
          <cell r="J968" t="str">
            <v>SOTARA-CAUCA</v>
          </cell>
        </row>
        <row r="969">
          <cell r="J969" t="str">
            <v>SUAITA-SANTANDER</v>
          </cell>
        </row>
        <row r="970">
          <cell r="J970" t="str">
            <v>SUAN-ATLANTICO</v>
          </cell>
        </row>
        <row r="971">
          <cell r="J971" t="str">
            <v>SUAREZ-TOLIMA</v>
          </cell>
        </row>
        <row r="972">
          <cell r="J972" t="str">
            <v>SUAZA-HUILA</v>
          </cell>
        </row>
        <row r="973">
          <cell r="J973" t="str">
            <v>SUBA-BOGOTA D.C.</v>
          </cell>
        </row>
        <row r="974">
          <cell r="J974" t="str">
            <v>SUBACHOQUE-CUNDINAMARCA</v>
          </cell>
        </row>
        <row r="975">
          <cell r="J975" t="str">
            <v>SUCRE-CAUCA</v>
          </cell>
        </row>
        <row r="976">
          <cell r="J976" t="str">
            <v>SUCRE-SANTANDER</v>
          </cell>
        </row>
        <row r="977">
          <cell r="J977" t="str">
            <v>SUCRE-SUCRE</v>
          </cell>
        </row>
        <row r="978">
          <cell r="J978" t="str">
            <v>SUESCA-CUNDINAMARCA</v>
          </cell>
        </row>
        <row r="979">
          <cell r="J979" t="str">
            <v>SUPATA-CUNDINAMARCA</v>
          </cell>
        </row>
        <row r="980">
          <cell r="J980" t="str">
            <v>SUPIA-CALDAS</v>
          </cell>
        </row>
        <row r="981">
          <cell r="J981" t="str">
            <v>SURATA-SANTANDER</v>
          </cell>
        </row>
        <row r="982">
          <cell r="J982" t="str">
            <v>SUSA-CUNDINAMARCA</v>
          </cell>
        </row>
        <row r="983">
          <cell r="J983" t="str">
            <v>SUSACON-BOYACA</v>
          </cell>
        </row>
        <row r="984">
          <cell r="J984" t="str">
            <v>SUTAMARCHAN-BOYACA</v>
          </cell>
        </row>
        <row r="985">
          <cell r="J985" t="str">
            <v>SUTATAUSA-CUNDINAMARCA</v>
          </cell>
        </row>
        <row r="986">
          <cell r="J986" t="str">
            <v>SUTATENZA-BOYACA</v>
          </cell>
        </row>
        <row r="987">
          <cell r="J987" t="str">
            <v>SUÁREZ-CAUCA</v>
          </cell>
        </row>
        <row r="988">
          <cell r="J988" t="str">
            <v>TABIO-CUNDINAMARCA</v>
          </cell>
        </row>
        <row r="989">
          <cell r="J989" t="str">
            <v>TADO-CHOCO</v>
          </cell>
        </row>
        <row r="990">
          <cell r="J990" t="str">
            <v>TALAIGUA-NUEVO-BOLIVAR</v>
          </cell>
        </row>
        <row r="991">
          <cell r="J991" t="str">
            <v>TAMALAMEQUE-CESAR</v>
          </cell>
        </row>
        <row r="992">
          <cell r="J992" t="str">
            <v>TAMARA-CASANARE</v>
          </cell>
        </row>
        <row r="993">
          <cell r="J993" t="str">
            <v>TAME-ARAUCA</v>
          </cell>
        </row>
        <row r="994">
          <cell r="J994" t="str">
            <v>TAMESIS-ANTIOQUIA</v>
          </cell>
        </row>
        <row r="995">
          <cell r="J995" t="str">
            <v>TAMINANGO-NARINO</v>
          </cell>
        </row>
        <row r="996">
          <cell r="J996" t="str">
            <v>TANGUA-NARINO</v>
          </cell>
        </row>
        <row r="997">
          <cell r="J997" t="str">
            <v>TARAIRA-VAUPES</v>
          </cell>
        </row>
        <row r="998">
          <cell r="J998" t="str">
            <v>TARAPACA-AMAZONAS</v>
          </cell>
        </row>
        <row r="999">
          <cell r="J999" t="str">
            <v>TARAZA-ANTIOQUIA</v>
          </cell>
        </row>
        <row r="1000">
          <cell r="J1000" t="str">
            <v>TARQUI-HUILA</v>
          </cell>
        </row>
        <row r="1001">
          <cell r="J1001" t="str">
            <v>TARSO-ANTIOQUIA</v>
          </cell>
        </row>
        <row r="1002">
          <cell r="J1002" t="str">
            <v>TASCO-BOYACA</v>
          </cell>
        </row>
        <row r="1003">
          <cell r="J1003" t="str">
            <v>TAURAMENA-CASANARE</v>
          </cell>
        </row>
        <row r="1004">
          <cell r="J1004" t="str">
            <v>TAUSA-CUNDINAMARCA</v>
          </cell>
        </row>
        <row r="1005">
          <cell r="J1005" t="str">
            <v>TELLO-HUILA</v>
          </cell>
        </row>
        <row r="1006">
          <cell r="J1006" t="str">
            <v>TENA-CUNDINAMARCA</v>
          </cell>
        </row>
        <row r="1007">
          <cell r="J1007" t="str">
            <v>TENERIFE-MAGDALENA</v>
          </cell>
        </row>
        <row r="1008">
          <cell r="J1008" t="str">
            <v>TENJO-CUNDINAMARCA</v>
          </cell>
        </row>
        <row r="1009">
          <cell r="J1009" t="str">
            <v>TENZA-BOYACA</v>
          </cell>
        </row>
        <row r="1010">
          <cell r="J1010" t="str">
            <v>TEORAMA-NORTE DE SANTANDER</v>
          </cell>
        </row>
        <row r="1011">
          <cell r="J1011" t="str">
            <v>TERUEL-HUILA</v>
          </cell>
        </row>
        <row r="1012">
          <cell r="J1012" t="str">
            <v>TESALIA-HUILA</v>
          </cell>
        </row>
        <row r="1013">
          <cell r="J1013" t="str">
            <v>TIBACUY-CUNDINAMARCA</v>
          </cell>
        </row>
        <row r="1014">
          <cell r="J1014" t="str">
            <v>TIBANA-BOYACA</v>
          </cell>
        </row>
        <row r="1015">
          <cell r="J1015" t="str">
            <v>TIBASOSA-BOYACA</v>
          </cell>
        </row>
        <row r="1016">
          <cell r="J1016" t="str">
            <v>TIBIRITA-CUNDINAMARCA</v>
          </cell>
        </row>
        <row r="1017">
          <cell r="J1017" t="str">
            <v>TIBU-NORTE DE SANTANDER</v>
          </cell>
        </row>
        <row r="1018">
          <cell r="J1018" t="str">
            <v>TIERRALTA-CORDOBA</v>
          </cell>
        </row>
        <row r="1019">
          <cell r="J1019" t="str">
            <v>TIMANA-HUILA</v>
          </cell>
        </row>
        <row r="1020">
          <cell r="J1020" t="str">
            <v>TIMBIO-CAUCA</v>
          </cell>
        </row>
        <row r="1021">
          <cell r="J1021" t="str">
            <v>TIMBIQUI-CAUCA</v>
          </cell>
        </row>
        <row r="1022">
          <cell r="J1022" t="str">
            <v>TINJACA-BOYACA</v>
          </cell>
        </row>
        <row r="1023">
          <cell r="J1023" t="str">
            <v>TIPACOQUE-BOYACA</v>
          </cell>
        </row>
        <row r="1024">
          <cell r="J1024" t="str">
            <v>TIQUISIO-BOLIVAR</v>
          </cell>
        </row>
        <row r="1025">
          <cell r="J1025" t="str">
            <v>TITIRIBI-ANTIOQUIA</v>
          </cell>
        </row>
        <row r="1026">
          <cell r="J1026" t="str">
            <v>TOCA-BOYACA</v>
          </cell>
        </row>
        <row r="1027">
          <cell r="J1027" t="str">
            <v>TOCAIMA-CUNDINAMARCA</v>
          </cell>
        </row>
        <row r="1028">
          <cell r="J1028" t="str">
            <v>TOCANCIPA-CUNDINAMARCA</v>
          </cell>
        </row>
        <row r="1029">
          <cell r="J1029" t="str">
            <v>TOGUI-BOYACA</v>
          </cell>
        </row>
        <row r="1030">
          <cell r="J1030" t="str">
            <v>TOLEDO-ANTIOQUIA</v>
          </cell>
        </row>
        <row r="1031">
          <cell r="J1031" t="str">
            <v>TOLEDO-NORTE DE SANTANDER</v>
          </cell>
        </row>
        <row r="1032">
          <cell r="J1032" t="str">
            <v>TOLU-SUCRE</v>
          </cell>
        </row>
        <row r="1033">
          <cell r="J1033" t="str">
            <v>TOLUVIEJO-SUCRE</v>
          </cell>
        </row>
        <row r="1034">
          <cell r="J1034" t="str">
            <v>TONA-SANTANDER</v>
          </cell>
        </row>
        <row r="1035">
          <cell r="J1035" t="str">
            <v>TOPAGA-BOYACA</v>
          </cell>
        </row>
        <row r="1036">
          <cell r="J1036" t="str">
            <v>TOPAIPI-CUNDINAMARCA</v>
          </cell>
        </row>
        <row r="1037">
          <cell r="J1037" t="str">
            <v>TORIBIO-CAUCA</v>
          </cell>
        </row>
        <row r="1038">
          <cell r="J1038" t="str">
            <v>TORO-VALLE</v>
          </cell>
        </row>
        <row r="1039">
          <cell r="J1039" t="str">
            <v>TOTA-BOYACA</v>
          </cell>
        </row>
        <row r="1040">
          <cell r="J1040" t="str">
            <v>TOTORO-CAUCA</v>
          </cell>
        </row>
        <row r="1041">
          <cell r="J1041" t="str">
            <v>TRINIDAD-CASANARE</v>
          </cell>
        </row>
        <row r="1042">
          <cell r="J1042" t="str">
            <v>TRUJILLO-VALLE</v>
          </cell>
        </row>
        <row r="1043">
          <cell r="J1043" t="str">
            <v>TUBARA-ATLANTICO</v>
          </cell>
        </row>
        <row r="1044">
          <cell r="J1044" t="str">
            <v>TUCHIN-CORDOBA</v>
          </cell>
        </row>
        <row r="1045">
          <cell r="J1045" t="str">
            <v>TULUA-VALLE</v>
          </cell>
        </row>
        <row r="1046">
          <cell r="J1046" t="str">
            <v>TUMACO-NARINO</v>
          </cell>
        </row>
        <row r="1047">
          <cell r="J1047" t="str">
            <v>TUNJA-BOYACA</v>
          </cell>
        </row>
        <row r="1048">
          <cell r="J1048" t="str">
            <v>TUNUNGUA-BOYACA</v>
          </cell>
        </row>
        <row r="1049">
          <cell r="J1049" t="str">
            <v>TUQUERRES-NARINO</v>
          </cell>
        </row>
        <row r="1050">
          <cell r="J1050" t="str">
            <v>TURBACO-BOLIVAR</v>
          </cell>
        </row>
        <row r="1051">
          <cell r="J1051" t="str">
            <v>TURBANA-BOLIVAR</v>
          </cell>
        </row>
        <row r="1052">
          <cell r="J1052" t="str">
            <v>TURBO-ANTIOQUIA</v>
          </cell>
        </row>
        <row r="1053">
          <cell r="J1053" t="str">
            <v>TURMEQUE-BOYACA</v>
          </cell>
        </row>
        <row r="1054">
          <cell r="J1054" t="str">
            <v>TUTA-BOYACA</v>
          </cell>
        </row>
        <row r="1055">
          <cell r="J1055" t="str">
            <v>TUTASA-BOYACA</v>
          </cell>
        </row>
        <row r="1056">
          <cell r="J1056" t="str">
            <v>UBALA-CUNDINAMARCA</v>
          </cell>
        </row>
        <row r="1057">
          <cell r="J1057" t="str">
            <v>UBAQUE-CUNDINAMARCA</v>
          </cell>
        </row>
        <row r="1058">
          <cell r="J1058" t="str">
            <v>UBATE-CUNDINAMARCA</v>
          </cell>
        </row>
        <row r="1059">
          <cell r="J1059" t="str">
            <v>ULLOA-VALLE</v>
          </cell>
        </row>
        <row r="1060">
          <cell r="J1060" t="str">
            <v>UMBITA-BOYACA</v>
          </cell>
        </row>
        <row r="1061">
          <cell r="J1061" t="str">
            <v>UNE-CUNDINAMARCA</v>
          </cell>
        </row>
        <row r="1062">
          <cell r="J1062" t="str">
            <v>UNGUIA-CHOCO</v>
          </cell>
        </row>
        <row r="1063">
          <cell r="J1063" t="str">
            <v>UNIÓN-PANAMERICANA-CHOCO</v>
          </cell>
        </row>
        <row r="1064">
          <cell r="J1064" t="str">
            <v>URAMITA-ANTIOQUIA</v>
          </cell>
        </row>
        <row r="1065">
          <cell r="J1065" t="str">
            <v>URIBE-META</v>
          </cell>
        </row>
        <row r="1066">
          <cell r="J1066" t="str">
            <v>URIBIA-LA GUAJIRA</v>
          </cell>
        </row>
        <row r="1067">
          <cell r="J1067" t="str">
            <v>URRAO-ANTIOQUIA</v>
          </cell>
        </row>
        <row r="1068">
          <cell r="J1068" t="str">
            <v>URUMITA-LA GUAJIRA</v>
          </cell>
        </row>
        <row r="1069">
          <cell r="J1069" t="str">
            <v>USAQUEN-BOGOTA D.C.</v>
          </cell>
        </row>
        <row r="1070">
          <cell r="J1070" t="str">
            <v>USIACURI-ATLANTICO</v>
          </cell>
        </row>
        <row r="1071">
          <cell r="J1071" t="str">
            <v>USME-BOGOTA D.C.</v>
          </cell>
        </row>
        <row r="1072">
          <cell r="J1072" t="str">
            <v>UTICA-CUNDINAMARCA</v>
          </cell>
        </row>
        <row r="1073">
          <cell r="J1073" t="str">
            <v>VALDIVIA-ANTIOQUIA</v>
          </cell>
        </row>
        <row r="1074">
          <cell r="J1074" t="str">
            <v>VALENCIA-CORDOBA</v>
          </cell>
        </row>
        <row r="1075">
          <cell r="J1075" t="str">
            <v>VALLE-GUAMUEZ-PUTUMAYO</v>
          </cell>
        </row>
        <row r="1076">
          <cell r="J1076" t="str">
            <v>VALLE-SAN-JOSE-SANTANDER</v>
          </cell>
        </row>
        <row r="1077">
          <cell r="J1077" t="str">
            <v>VALLE-SAN-JUAN-TOLIMA</v>
          </cell>
        </row>
        <row r="1078">
          <cell r="J1078" t="str">
            <v>VALLEDUPAR-CESAR</v>
          </cell>
        </row>
        <row r="1079">
          <cell r="J1079" t="str">
            <v>VALPARAISO-ANTIOQUIA</v>
          </cell>
        </row>
        <row r="1080">
          <cell r="J1080" t="str">
            <v>VALPARAISO-CAQUETA</v>
          </cell>
        </row>
        <row r="1081">
          <cell r="J1081" t="str">
            <v>VEGACHI-ANTIOQUIA</v>
          </cell>
        </row>
        <row r="1082">
          <cell r="J1082" t="str">
            <v>VELEZ-SANTANDER</v>
          </cell>
        </row>
        <row r="1083">
          <cell r="J1083" t="str">
            <v>VENADILLO-TOLIMA</v>
          </cell>
        </row>
        <row r="1084">
          <cell r="J1084" t="str">
            <v>VENECIA-ANTIOQUIA</v>
          </cell>
        </row>
        <row r="1085">
          <cell r="J1085" t="str">
            <v>VENECIA-OSPINA-PEREZ-CUNDINAMARCA</v>
          </cell>
        </row>
        <row r="1086">
          <cell r="J1086" t="str">
            <v>VENTAQUEMADA-BOYACA</v>
          </cell>
        </row>
        <row r="1087">
          <cell r="J1087" t="str">
            <v>VERGARA-CUNDINAMARCA</v>
          </cell>
        </row>
        <row r="1088">
          <cell r="J1088" t="str">
            <v>VERSALLES-VALLE</v>
          </cell>
        </row>
        <row r="1089">
          <cell r="J1089" t="str">
            <v>VETAS-SANTANDER</v>
          </cell>
        </row>
        <row r="1090">
          <cell r="J1090" t="str">
            <v>VIANI-CUNDINAMARCA</v>
          </cell>
        </row>
        <row r="1091">
          <cell r="J1091" t="str">
            <v>VICTORIA-CALDAS</v>
          </cell>
        </row>
        <row r="1092">
          <cell r="J1092" t="str">
            <v>VIGIA-DEL-FUERTE-ANTIOQUIA</v>
          </cell>
        </row>
        <row r="1093">
          <cell r="J1093" t="str">
            <v>VIJES-VALLE</v>
          </cell>
        </row>
        <row r="1094">
          <cell r="J1094" t="str">
            <v>VILLA-CARO-NORTE DE SANTANDER</v>
          </cell>
        </row>
        <row r="1095">
          <cell r="J1095" t="str">
            <v>VILLA-DE-LEYVA-BOYACA</v>
          </cell>
        </row>
        <row r="1096">
          <cell r="J1096" t="str">
            <v>VILLA-RICA-CAUCA</v>
          </cell>
        </row>
        <row r="1097">
          <cell r="J1097" t="str">
            <v>VILLA-ROSARIO-NORTE DE SANTANDER</v>
          </cell>
        </row>
        <row r="1098">
          <cell r="J1098" t="str">
            <v>VILLAGARZON-PUTUMAYO</v>
          </cell>
        </row>
        <row r="1099">
          <cell r="J1099" t="str">
            <v>VILLAGOMEZ-CUNDINAMARCA</v>
          </cell>
        </row>
        <row r="1100">
          <cell r="J1100" t="str">
            <v>VILLAHERMOSA-TOLIMA</v>
          </cell>
        </row>
        <row r="1101">
          <cell r="J1101" t="str">
            <v>VILLAMARIA-CALDAS</v>
          </cell>
        </row>
        <row r="1102">
          <cell r="J1102" t="str">
            <v>VILLANUEVA-BOLIVAR</v>
          </cell>
        </row>
        <row r="1103">
          <cell r="J1103" t="str">
            <v>VILLANUEVA-CASANARE</v>
          </cell>
        </row>
        <row r="1104">
          <cell r="J1104" t="str">
            <v>VILLANUEVA-LA GUAJIRA</v>
          </cell>
        </row>
        <row r="1105">
          <cell r="J1105" t="str">
            <v>VILLANUEVA-SANTANDER</v>
          </cell>
        </row>
        <row r="1106">
          <cell r="J1106" t="str">
            <v>VILLAPINZON-CUNDINAMARCA</v>
          </cell>
        </row>
        <row r="1107">
          <cell r="J1107" t="str">
            <v>VILLARRICA-TOLIMA</v>
          </cell>
        </row>
        <row r="1108">
          <cell r="J1108" t="str">
            <v>VILLAVICENCIO-META</v>
          </cell>
        </row>
        <row r="1109">
          <cell r="J1109" t="str">
            <v>VILLAVIEJA-HUILA</v>
          </cell>
        </row>
        <row r="1110">
          <cell r="J1110" t="str">
            <v>VILLETA-CUNDINAMARCA</v>
          </cell>
        </row>
        <row r="1111">
          <cell r="J1111" t="str">
            <v>VIOTA-CUNDINAMARCA</v>
          </cell>
        </row>
        <row r="1112">
          <cell r="J1112" t="str">
            <v>VIRACACHA-BOYACA</v>
          </cell>
        </row>
        <row r="1113">
          <cell r="J1113" t="str">
            <v>VISTA-HERMOSA-META</v>
          </cell>
        </row>
        <row r="1114">
          <cell r="J1114" t="str">
            <v>VITERBO-CALDAS</v>
          </cell>
        </row>
        <row r="1115">
          <cell r="J1115" t="str">
            <v>YACOPI-CUNDINAMARCA</v>
          </cell>
        </row>
        <row r="1116">
          <cell r="J1116" t="str">
            <v>YACUANQUER-NARINO</v>
          </cell>
        </row>
        <row r="1117">
          <cell r="J1117" t="str">
            <v>YAGUARA-HUILA</v>
          </cell>
        </row>
        <row r="1118">
          <cell r="J1118" t="str">
            <v>YALI-ANTIOQUIA</v>
          </cell>
        </row>
        <row r="1119">
          <cell r="J1119" t="str">
            <v>YARUMAL-ANTIOQUIA</v>
          </cell>
        </row>
        <row r="1120">
          <cell r="J1120" t="str">
            <v>YAVARATE-VAUPES</v>
          </cell>
        </row>
        <row r="1121">
          <cell r="J1121" t="str">
            <v>YOLOMBO-ANTIOQUIA</v>
          </cell>
        </row>
        <row r="1122">
          <cell r="J1122" t="str">
            <v>YONDO-ANTIOQUIA</v>
          </cell>
        </row>
        <row r="1123">
          <cell r="J1123" t="str">
            <v>YOPAL-CASANARE</v>
          </cell>
        </row>
        <row r="1124">
          <cell r="J1124" t="str">
            <v>YOTOCO-VALLE</v>
          </cell>
        </row>
        <row r="1125">
          <cell r="J1125" t="str">
            <v>YUMBO-VALLE</v>
          </cell>
        </row>
        <row r="1126">
          <cell r="J1126" t="str">
            <v>ZAMBRANO-BOLIVAR</v>
          </cell>
        </row>
        <row r="1127">
          <cell r="J1127" t="str">
            <v>ZAPATOCA-SANTANDER</v>
          </cell>
        </row>
        <row r="1128">
          <cell r="J1128" t="str">
            <v>ZAPAYÁN-MAGDALENA</v>
          </cell>
        </row>
        <row r="1129">
          <cell r="J1129" t="str">
            <v>ZARAGOZA-ANTIOQUIA</v>
          </cell>
        </row>
        <row r="1130">
          <cell r="J1130" t="str">
            <v>ZARZAL-VALLE</v>
          </cell>
        </row>
        <row r="1131">
          <cell r="J1131" t="str">
            <v>ZETAQUIRA-BOYACA</v>
          </cell>
        </row>
        <row r="1132">
          <cell r="J1132" t="str">
            <v>ZIPACON-CUNDINAMARCA</v>
          </cell>
        </row>
        <row r="1133">
          <cell r="J1133" t="str">
            <v>ZIPAQUIRA-CUNDINAMARCA</v>
          </cell>
        </row>
        <row r="1134">
          <cell r="J1134" t="str">
            <v>ZONA-BANANERA-MAGDALENA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EFA3-4E73-47E5-9B4B-AACE544704AD}">
  <dimension ref="B2:P90"/>
  <sheetViews>
    <sheetView tabSelected="1" zoomScale="125" workbookViewId="0"/>
  </sheetViews>
  <sheetFormatPr baseColWidth="10" defaultColWidth="9.109375" defaultRowHeight="13.2" x14ac:dyDescent="0.25"/>
  <cols>
    <col min="1" max="1" width="9.109375" style="1"/>
    <col min="2" max="4" width="2.6640625" style="1" customWidth="1"/>
    <col min="5" max="5" width="50" style="1" customWidth="1"/>
    <col min="6" max="6" width="13.33203125" style="1" customWidth="1"/>
    <col min="7" max="7" width="34.33203125" style="1" customWidth="1"/>
    <col min="8" max="8" width="36.44140625" style="1" customWidth="1"/>
    <col min="9" max="9" width="42.44140625" style="1" customWidth="1"/>
    <col min="10" max="16" width="20.88671875" style="1" customWidth="1"/>
    <col min="17" max="257" width="9.109375" style="1"/>
    <col min="258" max="260" width="2.6640625" style="1" customWidth="1"/>
    <col min="261" max="261" width="50" style="1" customWidth="1"/>
    <col min="262" max="262" width="13.33203125" style="1" customWidth="1"/>
    <col min="263" max="263" width="11.6640625" style="1" customWidth="1"/>
    <col min="264" max="264" width="11.77734375" style="1" customWidth="1"/>
    <col min="265" max="265" width="11" style="1" customWidth="1"/>
    <col min="266" max="266" width="11.44140625" style="1" customWidth="1"/>
    <col min="267" max="268" width="10.77734375" style="1" customWidth="1"/>
    <col min="269" max="269" width="11" style="1" customWidth="1"/>
    <col min="270" max="270" width="11.109375" style="1" customWidth="1"/>
    <col min="271" max="271" width="10.6640625" style="1" customWidth="1"/>
    <col min="272" max="272" width="11.6640625" style="1" customWidth="1"/>
    <col min="273" max="513" width="9.109375" style="1"/>
    <col min="514" max="516" width="2.6640625" style="1" customWidth="1"/>
    <col min="517" max="517" width="50" style="1" customWidth="1"/>
    <col min="518" max="518" width="13.33203125" style="1" customWidth="1"/>
    <col min="519" max="519" width="11.6640625" style="1" customWidth="1"/>
    <col min="520" max="520" width="11.77734375" style="1" customWidth="1"/>
    <col min="521" max="521" width="11" style="1" customWidth="1"/>
    <col min="522" max="522" width="11.44140625" style="1" customWidth="1"/>
    <col min="523" max="524" width="10.77734375" style="1" customWidth="1"/>
    <col min="525" max="525" width="11" style="1" customWidth="1"/>
    <col min="526" max="526" width="11.109375" style="1" customWidth="1"/>
    <col min="527" max="527" width="10.6640625" style="1" customWidth="1"/>
    <col min="528" max="528" width="11.6640625" style="1" customWidth="1"/>
    <col min="529" max="769" width="9.109375" style="1"/>
    <col min="770" max="772" width="2.6640625" style="1" customWidth="1"/>
    <col min="773" max="773" width="50" style="1" customWidth="1"/>
    <col min="774" max="774" width="13.33203125" style="1" customWidth="1"/>
    <col min="775" max="775" width="11.6640625" style="1" customWidth="1"/>
    <col min="776" max="776" width="11.77734375" style="1" customWidth="1"/>
    <col min="777" max="777" width="11" style="1" customWidth="1"/>
    <col min="778" max="778" width="11.44140625" style="1" customWidth="1"/>
    <col min="779" max="780" width="10.77734375" style="1" customWidth="1"/>
    <col min="781" max="781" width="11" style="1" customWidth="1"/>
    <col min="782" max="782" width="11.109375" style="1" customWidth="1"/>
    <col min="783" max="783" width="10.6640625" style="1" customWidth="1"/>
    <col min="784" max="784" width="11.6640625" style="1" customWidth="1"/>
    <col min="785" max="1025" width="9.109375" style="1"/>
    <col min="1026" max="1028" width="2.6640625" style="1" customWidth="1"/>
    <col min="1029" max="1029" width="50" style="1" customWidth="1"/>
    <col min="1030" max="1030" width="13.33203125" style="1" customWidth="1"/>
    <col min="1031" max="1031" width="11.6640625" style="1" customWidth="1"/>
    <col min="1032" max="1032" width="11.77734375" style="1" customWidth="1"/>
    <col min="1033" max="1033" width="11" style="1" customWidth="1"/>
    <col min="1034" max="1034" width="11.44140625" style="1" customWidth="1"/>
    <col min="1035" max="1036" width="10.77734375" style="1" customWidth="1"/>
    <col min="1037" max="1037" width="11" style="1" customWidth="1"/>
    <col min="1038" max="1038" width="11.109375" style="1" customWidth="1"/>
    <col min="1039" max="1039" width="10.6640625" style="1" customWidth="1"/>
    <col min="1040" max="1040" width="11.6640625" style="1" customWidth="1"/>
    <col min="1041" max="1281" width="9.109375" style="1"/>
    <col min="1282" max="1284" width="2.6640625" style="1" customWidth="1"/>
    <col min="1285" max="1285" width="50" style="1" customWidth="1"/>
    <col min="1286" max="1286" width="13.33203125" style="1" customWidth="1"/>
    <col min="1287" max="1287" width="11.6640625" style="1" customWidth="1"/>
    <col min="1288" max="1288" width="11.77734375" style="1" customWidth="1"/>
    <col min="1289" max="1289" width="11" style="1" customWidth="1"/>
    <col min="1290" max="1290" width="11.44140625" style="1" customWidth="1"/>
    <col min="1291" max="1292" width="10.77734375" style="1" customWidth="1"/>
    <col min="1293" max="1293" width="11" style="1" customWidth="1"/>
    <col min="1294" max="1294" width="11.109375" style="1" customWidth="1"/>
    <col min="1295" max="1295" width="10.6640625" style="1" customWidth="1"/>
    <col min="1296" max="1296" width="11.6640625" style="1" customWidth="1"/>
    <col min="1297" max="1537" width="9.109375" style="1"/>
    <col min="1538" max="1540" width="2.6640625" style="1" customWidth="1"/>
    <col min="1541" max="1541" width="50" style="1" customWidth="1"/>
    <col min="1542" max="1542" width="13.33203125" style="1" customWidth="1"/>
    <col min="1543" max="1543" width="11.6640625" style="1" customWidth="1"/>
    <col min="1544" max="1544" width="11.77734375" style="1" customWidth="1"/>
    <col min="1545" max="1545" width="11" style="1" customWidth="1"/>
    <col min="1546" max="1546" width="11.44140625" style="1" customWidth="1"/>
    <col min="1547" max="1548" width="10.77734375" style="1" customWidth="1"/>
    <col min="1549" max="1549" width="11" style="1" customWidth="1"/>
    <col min="1550" max="1550" width="11.109375" style="1" customWidth="1"/>
    <col min="1551" max="1551" width="10.6640625" style="1" customWidth="1"/>
    <col min="1552" max="1552" width="11.6640625" style="1" customWidth="1"/>
    <col min="1553" max="1793" width="9.109375" style="1"/>
    <col min="1794" max="1796" width="2.6640625" style="1" customWidth="1"/>
    <col min="1797" max="1797" width="50" style="1" customWidth="1"/>
    <col min="1798" max="1798" width="13.33203125" style="1" customWidth="1"/>
    <col min="1799" max="1799" width="11.6640625" style="1" customWidth="1"/>
    <col min="1800" max="1800" width="11.77734375" style="1" customWidth="1"/>
    <col min="1801" max="1801" width="11" style="1" customWidth="1"/>
    <col min="1802" max="1802" width="11.44140625" style="1" customWidth="1"/>
    <col min="1803" max="1804" width="10.77734375" style="1" customWidth="1"/>
    <col min="1805" max="1805" width="11" style="1" customWidth="1"/>
    <col min="1806" max="1806" width="11.109375" style="1" customWidth="1"/>
    <col min="1807" max="1807" width="10.6640625" style="1" customWidth="1"/>
    <col min="1808" max="1808" width="11.6640625" style="1" customWidth="1"/>
    <col min="1809" max="2049" width="9.109375" style="1"/>
    <col min="2050" max="2052" width="2.6640625" style="1" customWidth="1"/>
    <col min="2053" max="2053" width="50" style="1" customWidth="1"/>
    <col min="2054" max="2054" width="13.33203125" style="1" customWidth="1"/>
    <col min="2055" max="2055" width="11.6640625" style="1" customWidth="1"/>
    <col min="2056" max="2056" width="11.77734375" style="1" customWidth="1"/>
    <col min="2057" max="2057" width="11" style="1" customWidth="1"/>
    <col min="2058" max="2058" width="11.44140625" style="1" customWidth="1"/>
    <col min="2059" max="2060" width="10.77734375" style="1" customWidth="1"/>
    <col min="2061" max="2061" width="11" style="1" customWidth="1"/>
    <col min="2062" max="2062" width="11.109375" style="1" customWidth="1"/>
    <col min="2063" max="2063" width="10.6640625" style="1" customWidth="1"/>
    <col min="2064" max="2064" width="11.6640625" style="1" customWidth="1"/>
    <col min="2065" max="2305" width="9.109375" style="1"/>
    <col min="2306" max="2308" width="2.6640625" style="1" customWidth="1"/>
    <col min="2309" max="2309" width="50" style="1" customWidth="1"/>
    <col min="2310" max="2310" width="13.33203125" style="1" customWidth="1"/>
    <col min="2311" max="2311" width="11.6640625" style="1" customWidth="1"/>
    <col min="2312" max="2312" width="11.77734375" style="1" customWidth="1"/>
    <col min="2313" max="2313" width="11" style="1" customWidth="1"/>
    <col min="2314" max="2314" width="11.44140625" style="1" customWidth="1"/>
    <col min="2315" max="2316" width="10.77734375" style="1" customWidth="1"/>
    <col min="2317" max="2317" width="11" style="1" customWidth="1"/>
    <col min="2318" max="2318" width="11.109375" style="1" customWidth="1"/>
    <col min="2319" max="2319" width="10.6640625" style="1" customWidth="1"/>
    <col min="2320" max="2320" width="11.6640625" style="1" customWidth="1"/>
    <col min="2321" max="2561" width="9.109375" style="1"/>
    <col min="2562" max="2564" width="2.6640625" style="1" customWidth="1"/>
    <col min="2565" max="2565" width="50" style="1" customWidth="1"/>
    <col min="2566" max="2566" width="13.33203125" style="1" customWidth="1"/>
    <col min="2567" max="2567" width="11.6640625" style="1" customWidth="1"/>
    <col min="2568" max="2568" width="11.77734375" style="1" customWidth="1"/>
    <col min="2569" max="2569" width="11" style="1" customWidth="1"/>
    <col min="2570" max="2570" width="11.44140625" style="1" customWidth="1"/>
    <col min="2571" max="2572" width="10.77734375" style="1" customWidth="1"/>
    <col min="2573" max="2573" width="11" style="1" customWidth="1"/>
    <col min="2574" max="2574" width="11.109375" style="1" customWidth="1"/>
    <col min="2575" max="2575" width="10.6640625" style="1" customWidth="1"/>
    <col min="2576" max="2576" width="11.6640625" style="1" customWidth="1"/>
    <col min="2577" max="2817" width="9.109375" style="1"/>
    <col min="2818" max="2820" width="2.6640625" style="1" customWidth="1"/>
    <col min="2821" max="2821" width="50" style="1" customWidth="1"/>
    <col min="2822" max="2822" width="13.33203125" style="1" customWidth="1"/>
    <col min="2823" max="2823" width="11.6640625" style="1" customWidth="1"/>
    <col min="2824" max="2824" width="11.77734375" style="1" customWidth="1"/>
    <col min="2825" max="2825" width="11" style="1" customWidth="1"/>
    <col min="2826" max="2826" width="11.44140625" style="1" customWidth="1"/>
    <col min="2827" max="2828" width="10.77734375" style="1" customWidth="1"/>
    <col min="2829" max="2829" width="11" style="1" customWidth="1"/>
    <col min="2830" max="2830" width="11.109375" style="1" customWidth="1"/>
    <col min="2831" max="2831" width="10.6640625" style="1" customWidth="1"/>
    <col min="2832" max="2832" width="11.6640625" style="1" customWidth="1"/>
    <col min="2833" max="3073" width="9.109375" style="1"/>
    <col min="3074" max="3076" width="2.6640625" style="1" customWidth="1"/>
    <col min="3077" max="3077" width="50" style="1" customWidth="1"/>
    <col min="3078" max="3078" width="13.33203125" style="1" customWidth="1"/>
    <col min="3079" max="3079" width="11.6640625" style="1" customWidth="1"/>
    <col min="3080" max="3080" width="11.77734375" style="1" customWidth="1"/>
    <col min="3081" max="3081" width="11" style="1" customWidth="1"/>
    <col min="3082" max="3082" width="11.44140625" style="1" customWidth="1"/>
    <col min="3083" max="3084" width="10.77734375" style="1" customWidth="1"/>
    <col min="3085" max="3085" width="11" style="1" customWidth="1"/>
    <col min="3086" max="3086" width="11.109375" style="1" customWidth="1"/>
    <col min="3087" max="3087" width="10.6640625" style="1" customWidth="1"/>
    <col min="3088" max="3088" width="11.6640625" style="1" customWidth="1"/>
    <col min="3089" max="3329" width="9.109375" style="1"/>
    <col min="3330" max="3332" width="2.6640625" style="1" customWidth="1"/>
    <col min="3333" max="3333" width="50" style="1" customWidth="1"/>
    <col min="3334" max="3334" width="13.33203125" style="1" customWidth="1"/>
    <col min="3335" max="3335" width="11.6640625" style="1" customWidth="1"/>
    <col min="3336" max="3336" width="11.77734375" style="1" customWidth="1"/>
    <col min="3337" max="3337" width="11" style="1" customWidth="1"/>
    <col min="3338" max="3338" width="11.44140625" style="1" customWidth="1"/>
    <col min="3339" max="3340" width="10.77734375" style="1" customWidth="1"/>
    <col min="3341" max="3341" width="11" style="1" customWidth="1"/>
    <col min="3342" max="3342" width="11.109375" style="1" customWidth="1"/>
    <col min="3343" max="3343" width="10.6640625" style="1" customWidth="1"/>
    <col min="3344" max="3344" width="11.6640625" style="1" customWidth="1"/>
    <col min="3345" max="3585" width="9.109375" style="1"/>
    <col min="3586" max="3588" width="2.6640625" style="1" customWidth="1"/>
    <col min="3589" max="3589" width="50" style="1" customWidth="1"/>
    <col min="3590" max="3590" width="13.33203125" style="1" customWidth="1"/>
    <col min="3591" max="3591" width="11.6640625" style="1" customWidth="1"/>
    <col min="3592" max="3592" width="11.77734375" style="1" customWidth="1"/>
    <col min="3593" max="3593" width="11" style="1" customWidth="1"/>
    <col min="3594" max="3594" width="11.44140625" style="1" customWidth="1"/>
    <col min="3595" max="3596" width="10.77734375" style="1" customWidth="1"/>
    <col min="3597" max="3597" width="11" style="1" customWidth="1"/>
    <col min="3598" max="3598" width="11.109375" style="1" customWidth="1"/>
    <col min="3599" max="3599" width="10.6640625" style="1" customWidth="1"/>
    <col min="3600" max="3600" width="11.6640625" style="1" customWidth="1"/>
    <col min="3601" max="3841" width="9.109375" style="1"/>
    <col min="3842" max="3844" width="2.6640625" style="1" customWidth="1"/>
    <col min="3845" max="3845" width="50" style="1" customWidth="1"/>
    <col min="3846" max="3846" width="13.33203125" style="1" customWidth="1"/>
    <col min="3847" max="3847" width="11.6640625" style="1" customWidth="1"/>
    <col min="3848" max="3848" width="11.77734375" style="1" customWidth="1"/>
    <col min="3849" max="3849" width="11" style="1" customWidth="1"/>
    <col min="3850" max="3850" width="11.44140625" style="1" customWidth="1"/>
    <col min="3851" max="3852" width="10.77734375" style="1" customWidth="1"/>
    <col min="3853" max="3853" width="11" style="1" customWidth="1"/>
    <col min="3854" max="3854" width="11.109375" style="1" customWidth="1"/>
    <col min="3855" max="3855" width="10.6640625" style="1" customWidth="1"/>
    <col min="3856" max="3856" width="11.6640625" style="1" customWidth="1"/>
    <col min="3857" max="4097" width="9.109375" style="1"/>
    <col min="4098" max="4100" width="2.6640625" style="1" customWidth="1"/>
    <col min="4101" max="4101" width="50" style="1" customWidth="1"/>
    <col min="4102" max="4102" width="13.33203125" style="1" customWidth="1"/>
    <col min="4103" max="4103" width="11.6640625" style="1" customWidth="1"/>
    <col min="4104" max="4104" width="11.77734375" style="1" customWidth="1"/>
    <col min="4105" max="4105" width="11" style="1" customWidth="1"/>
    <col min="4106" max="4106" width="11.44140625" style="1" customWidth="1"/>
    <col min="4107" max="4108" width="10.77734375" style="1" customWidth="1"/>
    <col min="4109" max="4109" width="11" style="1" customWidth="1"/>
    <col min="4110" max="4110" width="11.109375" style="1" customWidth="1"/>
    <col min="4111" max="4111" width="10.6640625" style="1" customWidth="1"/>
    <col min="4112" max="4112" width="11.6640625" style="1" customWidth="1"/>
    <col min="4113" max="4353" width="9.109375" style="1"/>
    <col min="4354" max="4356" width="2.6640625" style="1" customWidth="1"/>
    <col min="4357" max="4357" width="50" style="1" customWidth="1"/>
    <col min="4358" max="4358" width="13.33203125" style="1" customWidth="1"/>
    <col min="4359" max="4359" width="11.6640625" style="1" customWidth="1"/>
    <col min="4360" max="4360" width="11.77734375" style="1" customWidth="1"/>
    <col min="4361" max="4361" width="11" style="1" customWidth="1"/>
    <col min="4362" max="4362" width="11.44140625" style="1" customWidth="1"/>
    <col min="4363" max="4364" width="10.77734375" style="1" customWidth="1"/>
    <col min="4365" max="4365" width="11" style="1" customWidth="1"/>
    <col min="4366" max="4366" width="11.109375" style="1" customWidth="1"/>
    <col min="4367" max="4367" width="10.6640625" style="1" customWidth="1"/>
    <col min="4368" max="4368" width="11.6640625" style="1" customWidth="1"/>
    <col min="4369" max="4609" width="9.109375" style="1"/>
    <col min="4610" max="4612" width="2.6640625" style="1" customWidth="1"/>
    <col min="4613" max="4613" width="50" style="1" customWidth="1"/>
    <col min="4614" max="4614" width="13.33203125" style="1" customWidth="1"/>
    <col min="4615" max="4615" width="11.6640625" style="1" customWidth="1"/>
    <col min="4616" max="4616" width="11.77734375" style="1" customWidth="1"/>
    <col min="4617" max="4617" width="11" style="1" customWidth="1"/>
    <col min="4618" max="4618" width="11.44140625" style="1" customWidth="1"/>
    <col min="4619" max="4620" width="10.77734375" style="1" customWidth="1"/>
    <col min="4621" max="4621" width="11" style="1" customWidth="1"/>
    <col min="4622" max="4622" width="11.109375" style="1" customWidth="1"/>
    <col min="4623" max="4623" width="10.6640625" style="1" customWidth="1"/>
    <col min="4624" max="4624" width="11.6640625" style="1" customWidth="1"/>
    <col min="4625" max="4865" width="9.109375" style="1"/>
    <col min="4866" max="4868" width="2.6640625" style="1" customWidth="1"/>
    <col min="4869" max="4869" width="50" style="1" customWidth="1"/>
    <col min="4870" max="4870" width="13.33203125" style="1" customWidth="1"/>
    <col min="4871" max="4871" width="11.6640625" style="1" customWidth="1"/>
    <col min="4872" max="4872" width="11.77734375" style="1" customWidth="1"/>
    <col min="4873" max="4873" width="11" style="1" customWidth="1"/>
    <col min="4874" max="4874" width="11.44140625" style="1" customWidth="1"/>
    <col min="4875" max="4876" width="10.77734375" style="1" customWidth="1"/>
    <col min="4877" max="4877" width="11" style="1" customWidth="1"/>
    <col min="4878" max="4878" width="11.109375" style="1" customWidth="1"/>
    <col min="4879" max="4879" width="10.6640625" style="1" customWidth="1"/>
    <col min="4880" max="4880" width="11.6640625" style="1" customWidth="1"/>
    <col min="4881" max="5121" width="9.109375" style="1"/>
    <col min="5122" max="5124" width="2.6640625" style="1" customWidth="1"/>
    <col min="5125" max="5125" width="50" style="1" customWidth="1"/>
    <col min="5126" max="5126" width="13.33203125" style="1" customWidth="1"/>
    <col min="5127" max="5127" width="11.6640625" style="1" customWidth="1"/>
    <col min="5128" max="5128" width="11.77734375" style="1" customWidth="1"/>
    <col min="5129" max="5129" width="11" style="1" customWidth="1"/>
    <col min="5130" max="5130" width="11.44140625" style="1" customWidth="1"/>
    <col min="5131" max="5132" width="10.77734375" style="1" customWidth="1"/>
    <col min="5133" max="5133" width="11" style="1" customWidth="1"/>
    <col min="5134" max="5134" width="11.109375" style="1" customWidth="1"/>
    <col min="5135" max="5135" width="10.6640625" style="1" customWidth="1"/>
    <col min="5136" max="5136" width="11.6640625" style="1" customWidth="1"/>
    <col min="5137" max="5377" width="9.109375" style="1"/>
    <col min="5378" max="5380" width="2.6640625" style="1" customWidth="1"/>
    <col min="5381" max="5381" width="50" style="1" customWidth="1"/>
    <col min="5382" max="5382" width="13.33203125" style="1" customWidth="1"/>
    <col min="5383" max="5383" width="11.6640625" style="1" customWidth="1"/>
    <col min="5384" max="5384" width="11.77734375" style="1" customWidth="1"/>
    <col min="5385" max="5385" width="11" style="1" customWidth="1"/>
    <col min="5386" max="5386" width="11.44140625" style="1" customWidth="1"/>
    <col min="5387" max="5388" width="10.77734375" style="1" customWidth="1"/>
    <col min="5389" max="5389" width="11" style="1" customWidth="1"/>
    <col min="5390" max="5390" width="11.109375" style="1" customWidth="1"/>
    <col min="5391" max="5391" width="10.6640625" style="1" customWidth="1"/>
    <col min="5392" max="5392" width="11.6640625" style="1" customWidth="1"/>
    <col min="5393" max="5633" width="9.109375" style="1"/>
    <col min="5634" max="5636" width="2.6640625" style="1" customWidth="1"/>
    <col min="5637" max="5637" width="50" style="1" customWidth="1"/>
    <col min="5638" max="5638" width="13.33203125" style="1" customWidth="1"/>
    <col min="5639" max="5639" width="11.6640625" style="1" customWidth="1"/>
    <col min="5640" max="5640" width="11.77734375" style="1" customWidth="1"/>
    <col min="5641" max="5641" width="11" style="1" customWidth="1"/>
    <col min="5642" max="5642" width="11.44140625" style="1" customWidth="1"/>
    <col min="5643" max="5644" width="10.77734375" style="1" customWidth="1"/>
    <col min="5645" max="5645" width="11" style="1" customWidth="1"/>
    <col min="5646" max="5646" width="11.109375" style="1" customWidth="1"/>
    <col min="5647" max="5647" width="10.6640625" style="1" customWidth="1"/>
    <col min="5648" max="5648" width="11.6640625" style="1" customWidth="1"/>
    <col min="5649" max="5889" width="9.109375" style="1"/>
    <col min="5890" max="5892" width="2.6640625" style="1" customWidth="1"/>
    <col min="5893" max="5893" width="50" style="1" customWidth="1"/>
    <col min="5894" max="5894" width="13.33203125" style="1" customWidth="1"/>
    <col min="5895" max="5895" width="11.6640625" style="1" customWidth="1"/>
    <col min="5896" max="5896" width="11.77734375" style="1" customWidth="1"/>
    <col min="5897" max="5897" width="11" style="1" customWidth="1"/>
    <col min="5898" max="5898" width="11.44140625" style="1" customWidth="1"/>
    <col min="5899" max="5900" width="10.77734375" style="1" customWidth="1"/>
    <col min="5901" max="5901" width="11" style="1" customWidth="1"/>
    <col min="5902" max="5902" width="11.109375" style="1" customWidth="1"/>
    <col min="5903" max="5903" width="10.6640625" style="1" customWidth="1"/>
    <col min="5904" max="5904" width="11.6640625" style="1" customWidth="1"/>
    <col min="5905" max="6145" width="9.109375" style="1"/>
    <col min="6146" max="6148" width="2.6640625" style="1" customWidth="1"/>
    <col min="6149" max="6149" width="50" style="1" customWidth="1"/>
    <col min="6150" max="6150" width="13.33203125" style="1" customWidth="1"/>
    <col min="6151" max="6151" width="11.6640625" style="1" customWidth="1"/>
    <col min="6152" max="6152" width="11.77734375" style="1" customWidth="1"/>
    <col min="6153" max="6153" width="11" style="1" customWidth="1"/>
    <col min="6154" max="6154" width="11.44140625" style="1" customWidth="1"/>
    <col min="6155" max="6156" width="10.77734375" style="1" customWidth="1"/>
    <col min="6157" max="6157" width="11" style="1" customWidth="1"/>
    <col min="6158" max="6158" width="11.109375" style="1" customWidth="1"/>
    <col min="6159" max="6159" width="10.6640625" style="1" customWidth="1"/>
    <col min="6160" max="6160" width="11.6640625" style="1" customWidth="1"/>
    <col min="6161" max="6401" width="9.109375" style="1"/>
    <col min="6402" max="6404" width="2.6640625" style="1" customWidth="1"/>
    <col min="6405" max="6405" width="50" style="1" customWidth="1"/>
    <col min="6406" max="6406" width="13.33203125" style="1" customWidth="1"/>
    <col min="6407" max="6407" width="11.6640625" style="1" customWidth="1"/>
    <col min="6408" max="6408" width="11.77734375" style="1" customWidth="1"/>
    <col min="6409" max="6409" width="11" style="1" customWidth="1"/>
    <col min="6410" max="6410" width="11.44140625" style="1" customWidth="1"/>
    <col min="6411" max="6412" width="10.77734375" style="1" customWidth="1"/>
    <col min="6413" max="6413" width="11" style="1" customWidth="1"/>
    <col min="6414" max="6414" width="11.109375" style="1" customWidth="1"/>
    <col min="6415" max="6415" width="10.6640625" style="1" customWidth="1"/>
    <col min="6416" max="6416" width="11.6640625" style="1" customWidth="1"/>
    <col min="6417" max="6657" width="9.109375" style="1"/>
    <col min="6658" max="6660" width="2.6640625" style="1" customWidth="1"/>
    <col min="6661" max="6661" width="50" style="1" customWidth="1"/>
    <col min="6662" max="6662" width="13.33203125" style="1" customWidth="1"/>
    <col min="6663" max="6663" width="11.6640625" style="1" customWidth="1"/>
    <col min="6664" max="6664" width="11.77734375" style="1" customWidth="1"/>
    <col min="6665" max="6665" width="11" style="1" customWidth="1"/>
    <col min="6666" max="6666" width="11.44140625" style="1" customWidth="1"/>
    <col min="6667" max="6668" width="10.77734375" style="1" customWidth="1"/>
    <col min="6669" max="6669" width="11" style="1" customWidth="1"/>
    <col min="6670" max="6670" width="11.109375" style="1" customWidth="1"/>
    <col min="6671" max="6671" width="10.6640625" style="1" customWidth="1"/>
    <col min="6672" max="6672" width="11.6640625" style="1" customWidth="1"/>
    <col min="6673" max="6913" width="9.109375" style="1"/>
    <col min="6914" max="6916" width="2.6640625" style="1" customWidth="1"/>
    <col min="6917" max="6917" width="50" style="1" customWidth="1"/>
    <col min="6918" max="6918" width="13.33203125" style="1" customWidth="1"/>
    <col min="6919" max="6919" width="11.6640625" style="1" customWidth="1"/>
    <col min="6920" max="6920" width="11.77734375" style="1" customWidth="1"/>
    <col min="6921" max="6921" width="11" style="1" customWidth="1"/>
    <col min="6922" max="6922" width="11.44140625" style="1" customWidth="1"/>
    <col min="6923" max="6924" width="10.77734375" style="1" customWidth="1"/>
    <col min="6925" max="6925" width="11" style="1" customWidth="1"/>
    <col min="6926" max="6926" width="11.109375" style="1" customWidth="1"/>
    <col min="6927" max="6927" width="10.6640625" style="1" customWidth="1"/>
    <col min="6928" max="6928" width="11.6640625" style="1" customWidth="1"/>
    <col min="6929" max="7169" width="9.109375" style="1"/>
    <col min="7170" max="7172" width="2.6640625" style="1" customWidth="1"/>
    <col min="7173" max="7173" width="50" style="1" customWidth="1"/>
    <col min="7174" max="7174" width="13.33203125" style="1" customWidth="1"/>
    <col min="7175" max="7175" width="11.6640625" style="1" customWidth="1"/>
    <col min="7176" max="7176" width="11.77734375" style="1" customWidth="1"/>
    <col min="7177" max="7177" width="11" style="1" customWidth="1"/>
    <col min="7178" max="7178" width="11.44140625" style="1" customWidth="1"/>
    <col min="7179" max="7180" width="10.77734375" style="1" customWidth="1"/>
    <col min="7181" max="7181" width="11" style="1" customWidth="1"/>
    <col min="7182" max="7182" width="11.109375" style="1" customWidth="1"/>
    <col min="7183" max="7183" width="10.6640625" style="1" customWidth="1"/>
    <col min="7184" max="7184" width="11.6640625" style="1" customWidth="1"/>
    <col min="7185" max="7425" width="9.109375" style="1"/>
    <col min="7426" max="7428" width="2.6640625" style="1" customWidth="1"/>
    <col min="7429" max="7429" width="50" style="1" customWidth="1"/>
    <col min="7430" max="7430" width="13.33203125" style="1" customWidth="1"/>
    <col min="7431" max="7431" width="11.6640625" style="1" customWidth="1"/>
    <col min="7432" max="7432" width="11.77734375" style="1" customWidth="1"/>
    <col min="7433" max="7433" width="11" style="1" customWidth="1"/>
    <col min="7434" max="7434" width="11.44140625" style="1" customWidth="1"/>
    <col min="7435" max="7436" width="10.77734375" style="1" customWidth="1"/>
    <col min="7437" max="7437" width="11" style="1" customWidth="1"/>
    <col min="7438" max="7438" width="11.109375" style="1" customWidth="1"/>
    <col min="7439" max="7439" width="10.6640625" style="1" customWidth="1"/>
    <col min="7440" max="7440" width="11.6640625" style="1" customWidth="1"/>
    <col min="7441" max="7681" width="9.109375" style="1"/>
    <col min="7682" max="7684" width="2.6640625" style="1" customWidth="1"/>
    <col min="7685" max="7685" width="50" style="1" customWidth="1"/>
    <col min="7686" max="7686" width="13.33203125" style="1" customWidth="1"/>
    <col min="7687" max="7687" width="11.6640625" style="1" customWidth="1"/>
    <col min="7688" max="7688" width="11.77734375" style="1" customWidth="1"/>
    <col min="7689" max="7689" width="11" style="1" customWidth="1"/>
    <col min="7690" max="7690" width="11.44140625" style="1" customWidth="1"/>
    <col min="7691" max="7692" width="10.77734375" style="1" customWidth="1"/>
    <col min="7693" max="7693" width="11" style="1" customWidth="1"/>
    <col min="7694" max="7694" width="11.109375" style="1" customWidth="1"/>
    <col min="7695" max="7695" width="10.6640625" style="1" customWidth="1"/>
    <col min="7696" max="7696" width="11.6640625" style="1" customWidth="1"/>
    <col min="7697" max="7937" width="9.109375" style="1"/>
    <col min="7938" max="7940" width="2.6640625" style="1" customWidth="1"/>
    <col min="7941" max="7941" width="50" style="1" customWidth="1"/>
    <col min="7942" max="7942" width="13.33203125" style="1" customWidth="1"/>
    <col min="7943" max="7943" width="11.6640625" style="1" customWidth="1"/>
    <col min="7944" max="7944" width="11.77734375" style="1" customWidth="1"/>
    <col min="7945" max="7945" width="11" style="1" customWidth="1"/>
    <col min="7946" max="7946" width="11.44140625" style="1" customWidth="1"/>
    <col min="7947" max="7948" width="10.77734375" style="1" customWidth="1"/>
    <col min="7949" max="7949" width="11" style="1" customWidth="1"/>
    <col min="7950" max="7950" width="11.109375" style="1" customWidth="1"/>
    <col min="7951" max="7951" width="10.6640625" style="1" customWidth="1"/>
    <col min="7952" max="7952" width="11.6640625" style="1" customWidth="1"/>
    <col min="7953" max="8193" width="9.109375" style="1"/>
    <col min="8194" max="8196" width="2.6640625" style="1" customWidth="1"/>
    <col min="8197" max="8197" width="50" style="1" customWidth="1"/>
    <col min="8198" max="8198" width="13.33203125" style="1" customWidth="1"/>
    <col min="8199" max="8199" width="11.6640625" style="1" customWidth="1"/>
    <col min="8200" max="8200" width="11.77734375" style="1" customWidth="1"/>
    <col min="8201" max="8201" width="11" style="1" customWidth="1"/>
    <col min="8202" max="8202" width="11.44140625" style="1" customWidth="1"/>
    <col min="8203" max="8204" width="10.77734375" style="1" customWidth="1"/>
    <col min="8205" max="8205" width="11" style="1" customWidth="1"/>
    <col min="8206" max="8206" width="11.109375" style="1" customWidth="1"/>
    <col min="8207" max="8207" width="10.6640625" style="1" customWidth="1"/>
    <col min="8208" max="8208" width="11.6640625" style="1" customWidth="1"/>
    <col min="8209" max="8449" width="9.109375" style="1"/>
    <col min="8450" max="8452" width="2.6640625" style="1" customWidth="1"/>
    <col min="8453" max="8453" width="50" style="1" customWidth="1"/>
    <col min="8454" max="8454" width="13.33203125" style="1" customWidth="1"/>
    <col min="8455" max="8455" width="11.6640625" style="1" customWidth="1"/>
    <col min="8456" max="8456" width="11.77734375" style="1" customWidth="1"/>
    <col min="8457" max="8457" width="11" style="1" customWidth="1"/>
    <col min="8458" max="8458" width="11.44140625" style="1" customWidth="1"/>
    <col min="8459" max="8460" width="10.77734375" style="1" customWidth="1"/>
    <col min="8461" max="8461" width="11" style="1" customWidth="1"/>
    <col min="8462" max="8462" width="11.109375" style="1" customWidth="1"/>
    <col min="8463" max="8463" width="10.6640625" style="1" customWidth="1"/>
    <col min="8464" max="8464" width="11.6640625" style="1" customWidth="1"/>
    <col min="8465" max="8705" width="9.109375" style="1"/>
    <col min="8706" max="8708" width="2.6640625" style="1" customWidth="1"/>
    <col min="8709" max="8709" width="50" style="1" customWidth="1"/>
    <col min="8710" max="8710" width="13.33203125" style="1" customWidth="1"/>
    <col min="8711" max="8711" width="11.6640625" style="1" customWidth="1"/>
    <col min="8712" max="8712" width="11.77734375" style="1" customWidth="1"/>
    <col min="8713" max="8713" width="11" style="1" customWidth="1"/>
    <col min="8714" max="8714" width="11.44140625" style="1" customWidth="1"/>
    <col min="8715" max="8716" width="10.77734375" style="1" customWidth="1"/>
    <col min="8717" max="8717" width="11" style="1" customWidth="1"/>
    <col min="8718" max="8718" width="11.109375" style="1" customWidth="1"/>
    <col min="8719" max="8719" width="10.6640625" style="1" customWidth="1"/>
    <col min="8720" max="8720" width="11.6640625" style="1" customWidth="1"/>
    <col min="8721" max="8961" width="9.109375" style="1"/>
    <col min="8962" max="8964" width="2.6640625" style="1" customWidth="1"/>
    <col min="8965" max="8965" width="50" style="1" customWidth="1"/>
    <col min="8966" max="8966" width="13.33203125" style="1" customWidth="1"/>
    <col min="8967" max="8967" width="11.6640625" style="1" customWidth="1"/>
    <col min="8968" max="8968" width="11.77734375" style="1" customWidth="1"/>
    <col min="8969" max="8969" width="11" style="1" customWidth="1"/>
    <col min="8970" max="8970" width="11.44140625" style="1" customWidth="1"/>
    <col min="8971" max="8972" width="10.77734375" style="1" customWidth="1"/>
    <col min="8973" max="8973" width="11" style="1" customWidth="1"/>
    <col min="8974" max="8974" width="11.109375" style="1" customWidth="1"/>
    <col min="8975" max="8975" width="10.6640625" style="1" customWidth="1"/>
    <col min="8976" max="8976" width="11.6640625" style="1" customWidth="1"/>
    <col min="8977" max="9217" width="9.109375" style="1"/>
    <col min="9218" max="9220" width="2.6640625" style="1" customWidth="1"/>
    <col min="9221" max="9221" width="50" style="1" customWidth="1"/>
    <col min="9222" max="9222" width="13.33203125" style="1" customWidth="1"/>
    <col min="9223" max="9223" width="11.6640625" style="1" customWidth="1"/>
    <col min="9224" max="9224" width="11.77734375" style="1" customWidth="1"/>
    <col min="9225" max="9225" width="11" style="1" customWidth="1"/>
    <col min="9226" max="9226" width="11.44140625" style="1" customWidth="1"/>
    <col min="9227" max="9228" width="10.77734375" style="1" customWidth="1"/>
    <col min="9229" max="9229" width="11" style="1" customWidth="1"/>
    <col min="9230" max="9230" width="11.109375" style="1" customWidth="1"/>
    <col min="9231" max="9231" width="10.6640625" style="1" customWidth="1"/>
    <col min="9232" max="9232" width="11.6640625" style="1" customWidth="1"/>
    <col min="9233" max="9473" width="9.109375" style="1"/>
    <col min="9474" max="9476" width="2.6640625" style="1" customWidth="1"/>
    <col min="9477" max="9477" width="50" style="1" customWidth="1"/>
    <col min="9478" max="9478" width="13.33203125" style="1" customWidth="1"/>
    <col min="9479" max="9479" width="11.6640625" style="1" customWidth="1"/>
    <col min="9480" max="9480" width="11.77734375" style="1" customWidth="1"/>
    <col min="9481" max="9481" width="11" style="1" customWidth="1"/>
    <col min="9482" max="9482" width="11.44140625" style="1" customWidth="1"/>
    <col min="9483" max="9484" width="10.77734375" style="1" customWidth="1"/>
    <col min="9485" max="9485" width="11" style="1" customWidth="1"/>
    <col min="9486" max="9486" width="11.109375" style="1" customWidth="1"/>
    <col min="9487" max="9487" width="10.6640625" style="1" customWidth="1"/>
    <col min="9488" max="9488" width="11.6640625" style="1" customWidth="1"/>
    <col min="9489" max="9729" width="9.109375" style="1"/>
    <col min="9730" max="9732" width="2.6640625" style="1" customWidth="1"/>
    <col min="9733" max="9733" width="50" style="1" customWidth="1"/>
    <col min="9734" max="9734" width="13.33203125" style="1" customWidth="1"/>
    <col min="9735" max="9735" width="11.6640625" style="1" customWidth="1"/>
    <col min="9736" max="9736" width="11.77734375" style="1" customWidth="1"/>
    <col min="9737" max="9737" width="11" style="1" customWidth="1"/>
    <col min="9738" max="9738" width="11.44140625" style="1" customWidth="1"/>
    <col min="9739" max="9740" width="10.77734375" style="1" customWidth="1"/>
    <col min="9741" max="9741" width="11" style="1" customWidth="1"/>
    <col min="9742" max="9742" width="11.109375" style="1" customWidth="1"/>
    <col min="9743" max="9743" width="10.6640625" style="1" customWidth="1"/>
    <col min="9744" max="9744" width="11.6640625" style="1" customWidth="1"/>
    <col min="9745" max="9985" width="9.109375" style="1"/>
    <col min="9986" max="9988" width="2.6640625" style="1" customWidth="1"/>
    <col min="9989" max="9989" width="50" style="1" customWidth="1"/>
    <col min="9990" max="9990" width="13.33203125" style="1" customWidth="1"/>
    <col min="9991" max="9991" width="11.6640625" style="1" customWidth="1"/>
    <col min="9992" max="9992" width="11.77734375" style="1" customWidth="1"/>
    <col min="9993" max="9993" width="11" style="1" customWidth="1"/>
    <col min="9994" max="9994" width="11.44140625" style="1" customWidth="1"/>
    <col min="9995" max="9996" width="10.77734375" style="1" customWidth="1"/>
    <col min="9997" max="9997" width="11" style="1" customWidth="1"/>
    <col min="9998" max="9998" width="11.109375" style="1" customWidth="1"/>
    <col min="9999" max="9999" width="10.6640625" style="1" customWidth="1"/>
    <col min="10000" max="10000" width="11.6640625" style="1" customWidth="1"/>
    <col min="10001" max="10241" width="9.109375" style="1"/>
    <col min="10242" max="10244" width="2.6640625" style="1" customWidth="1"/>
    <col min="10245" max="10245" width="50" style="1" customWidth="1"/>
    <col min="10246" max="10246" width="13.33203125" style="1" customWidth="1"/>
    <col min="10247" max="10247" width="11.6640625" style="1" customWidth="1"/>
    <col min="10248" max="10248" width="11.77734375" style="1" customWidth="1"/>
    <col min="10249" max="10249" width="11" style="1" customWidth="1"/>
    <col min="10250" max="10250" width="11.44140625" style="1" customWidth="1"/>
    <col min="10251" max="10252" width="10.77734375" style="1" customWidth="1"/>
    <col min="10253" max="10253" width="11" style="1" customWidth="1"/>
    <col min="10254" max="10254" width="11.109375" style="1" customWidth="1"/>
    <col min="10255" max="10255" width="10.6640625" style="1" customWidth="1"/>
    <col min="10256" max="10256" width="11.6640625" style="1" customWidth="1"/>
    <col min="10257" max="10497" width="9.109375" style="1"/>
    <col min="10498" max="10500" width="2.6640625" style="1" customWidth="1"/>
    <col min="10501" max="10501" width="50" style="1" customWidth="1"/>
    <col min="10502" max="10502" width="13.33203125" style="1" customWidth="1"/>
    <col min="10503" max="10503" width="11.6640625" style="1" customWidth="1"/>
    <col min="10504" max="10504" width="11.77734375" style="1" customWidth="1"/>
    <col min="10505" max="10505" width="11" style="1" customWidth="1"/>
    <col min="10506" max="10506" width="11.44140625" style="1" customWidth="1"/>
    <col min="10507" max="10508" width="10.77734375" style="1" customWidth="1"/>
    <col min="10509" max="10509" width="11" style="1" customWidth="1"/>
    <col min="10510" max="10510" width="11.109375" style="1" customWidth="1"/>
    <col min="10511" max="10511" width="10.6640625" style="1" customWidth="1"/>
    <col min="10512" max="10512" width="11.6640625" style="1" customWidth="1"/>
    <col min="10513" max="10753" width="9.109375" style="1"/>
    <col min="10754" max="10756" width="2.6640625" style="1" customWidth="1"/>
    <col min="10757" max="10757" width="50" style="1" customWidth="1"/>
    <col min="10758" max="10758" width="13.33203125" style="1" customWidth="1"/>
    <col min="10759" max="10759" width="11.6640625" style="1" customWidth="1"/>
    <col min="10760" max="10760" width="11.77734375" style="1" customWidth="1"/>
    <col min="10761" max="10761" width="11" style="1" customWidth="1"/>
    <col min="10762" max="10762" width="11.44140625" style="1" customWidth="1"/>
    <col min="10763" max="10764" width="10.77734375" style="1" customWidth="1"/>
    <col min="10765" max="10765" width="11" style="1" customWidth="1"/>
    <col min="10766" max="10766" width="11.109375" style="1" customWidth="1"/>
    <col min="10767" max="10767" width="10.6640625" style="1" customWidth="1"/>
    <col min="10768" max="10768" width="11.6640625" style="1" customWidth="1"/>
    <col min="10769" max="11009" width="9.109375" style="1"/>
    <col min="11010" max="11012" width="2.6640625" style="1" customWidth="1"/>
    <col min="11013" max="11013" width="50" style="1" customWidth="1"/>
    <col min="11014" max="11014" width="13.33203125" style="1" customWidth="1"/>
    <col min="11015" max="11015" width="11.6640625" style="1" customWidth="1"/>
    <col min="11016" max="11016" width="11.77734375" style="1" customWidth="1"/>
    <col min="11017" max="11017" width="11" style="1" customWidth="1"/>
    <col min="11018" max="11018" width="11.44140625" style="1" customWidth="1"/>
    <col min="11019" max="11020" width="10.77734375" style="1" customWidth="1"/>
    <col min="11021" max="11021" width="11" style="1" customWidth="1"/>
    <col min="11022" max="11022" width="11.109375" style="1" customWidth="1"/>
    <col min="11023" max="11023" width="10.6640625" style="1" customWidth="1"/>
    <col min="11024" max="11024" width="11.6640625" style="1" customWidth="1"/>
    <col min="11025" max="11265" width="9.109375" style="1"/>
    <col min="11266" max="11268" width="2.6640625" style="1" customWidth="1"/>
    <col min="11269" max="11269" width="50" style="1" customWidth="1"/>
    <col min="11270" max="11270" width="13.33203125" style="1" customWidth="1"/>
    <col min="11271" max="11271" width="11.6640625" style="1" customWidth="1"/>
    <col min="11272" max="11272" width="11.77734375" style="1" customWidth="1"/>
    <col min="11273" max="11273" width="11" style="1" customWidth="1"/>
    <col min="11274" max="11274" width="11.44140625" style="1" customWidth="1"/>
    <col min="11275" max="11276" width="10.77734375" style="1" customWidth="1"/>
    <col min="11277" max="11277" width="11" style="1" customWidth="1"/>
    <col min="11278" max="11278" width="11.109375" style="1" customWidth="1"/>
    <col min="11279" max="11279" width="10.6640625" style="1" customWidth="1"/>
    <col min="11280" max="11280" width="11.6640625" style="1" customWidth="1"/>
    <col min="11281" max="11521" width="9.109375" style="1"/>
    <col min="11522" max="11524" width="2.6640625" style="1" customWidth="1"/>
    <col min="11525" max="11525" width="50" style="1" customWidth="1"/>
    <col min="11526" max="11526" width="13.33203125" style="1" customWidth="1"/>
    <col min="11527" max="11527" width="11.6640625" style="1" customWidth="1"/>
    <col min="11528" max="11528" width="11.77734375" style="1" customWidth="1"/>
    <col min="11529" max="11529" width="11" style="1" customWidth="1"/>
    <col min="11530" max="11530" width="11.44140625" style="1" customWidth="1"/>
    <col min="11531" max="11532" width="10.77734375" style="1" customWidth="1"/>
    <col min="11533" max="11533" width="11" style="1" customWidth="1"/>
    <col min="11534" max="11534" width="11.109375" style="1" customWidth="1"/>
    <col min="11535" max="11535" width="10.6640625" style="1" customWidth="1"/>
    <col min="11536" max="11536" width="11.6640625" style="1" customWidth="1"/>
    <col min="11537" max="11777" width="9.109375" style="1"/>
    <col min="11778" max="11780" width="2.6640625" style="1" customWidth="1"/>
    <col min="11781" max="11781" width="50" style="1" customWidth="1"/>
    <col min="11782" max="11782" width="13.33203125" style="1" customWidth="1"/>
    <col min="11783" max="11783" width="11.6640625" style="1" customWidth="1"/>
    <col min="11784" max="11784" width="11.77734375" style="1" customWidth="1"/>
    <col min="11785" max="11785" width="11" style="1" customWidth="1"/>
    <col min="11786" max="11786" width="11.44140625" style="1" customWidth="1"/>
    <col min="11787" max="11788" width="10.77734375" style="1" customWidth="1"/>
    <col min="11789" max="11789" width="11" style="1" customWidth="1"/>
    <col min="11790" max="11790" width="11.109375" style="1" customWidth="1"/>
    <col min="11791" max="11791" width="10.6640625" style="1" customWidth="1"/>
    <col min="11792" max="11792" width="11.6640625" style="1" customWidth="1"/>
    <col min="11793" max="12033" width="9.109375" style="1"/>
    <col min="12034" max="12036" width="2.6640625" style="1" customWidth="1"/>
    <col min="12037" max="12037" width="50" style="1" customWidth="1"/>
    <col min="12038" max="12038" width="13.33203125" style="1" customWidth="1"/>
    <col min="12039" max="12039" width="11.6640625" style="1" customWidth="1"/>
    <col min="12040" max="12040" width="11.77734375" style="1" customWidth="1"/>
    <col min="12041" max="12041" width="11" style="1" customWidth="1"/>
    <col min="12042" max="12042" width="11.44140625" style="1" customWidth="1"/>
    <col min="12043" max="12044" width="10.77734375" style="1" customWidth="1"/>
    <col min="12045" max="12045" width="11" style="1" customWidth="1"/>
    <col min="12046" max="12046" width="11.109375" style="1" customWidth="1"/>
    <col min="12047" max="12047" width="10.6640625" style="1" customWidth="1"/>
    <col min="12048" max="12048" width="11.6640625" style="1" customWidth="1"/>
    <col min="12049" max="12289" width="9.109375" style="1"/>
    <col min="12290" max="12292" width="2.6640625" style="1" customWidth="1"/>
    <col min="12293" max="12293" width="50" style="1" customWidth="1"/>
    <col min="12294" max="12294" width="13.33203125" style="1" customWidth="1"/>
    <col min="12295" max="12295" width="11.6640625" style="1" customWidth="1"/>
    <col min="12296" max="12296" width="11.77734375" style="1" customWidth="1"/>
    <col min="12297" max="12297" width="11" style="1" customWidth="1"/>
    <col min="12298" max="12298" width="11.44140625" style="1" customWidth="1"/>
    <col min="12299" max="12300" width="10.77734375" style="1" customWidth="1"/>
    <col min="12301" max="12301" width="11" style="1" customWidth="1"/>
    <col min="12302" max="12302" width="11.109375" style="1" customWidth="1"/>
    <col min="12303" max="12303" width="10.6640625" style="1" customWidth="1"/>
    <col min="12304" max="12304" width="11.6640625" style="1" customWidth="1"/>
    <col min="12305" max="12545" width="9.109375" style="1"/>
    <col min="12546" max="12548" width="2.6640625" style="1" customWidth="1"/>
    <col min="12549" max="12549" width="50" style="1" customWidth="1"/>
    <col min="12550" max="12550" width="13.33203125" style="1" customWidth="1"/>
    <col min="12551" max="12551" width="11.6640625" style="1" customWidth="1"/>
    <col min="12552" max="12552" width="11.77734375" style="1" customWidth="1"/>
    <col min="12553" max="12553" width="11" style="1" customWidth="1"/>
    <col min="12554" max="12554" width="11.44140625" style="1" customWidth="1"/>
    <col min="12555" max="12556" width="10.77734375" style="1" customWidth="1"/>
    <col min="12557" max="12557" width="11" style="1" customWidth="1"/>
    <col min="12558" max="12558" width="11.109375" style="1" customWidth="1"/>
    <col min="12559" max="12559" width="10.6640625" style="1" customWidth="1"/>
    <col min="12560" max="12560" width="11.6640625" style="1" customWidth="1"/>
    <col min="12561" max="12801" width="9.109375" style="1"/>
    <col min="12802" max="12804" width="2.6640625" style="1" customWidth="1"/>
    <col min="12805" max="12805" width="50" style="1" customWidth="1"/>
    <col min="12806" max="12806" width="13.33203125" style="1" customWidth="1"/>
    <col min="12807" max="12807" width="11.6640625" style="1" customWidth="1"/>
    <col min="12808" max="12808" width="11.77734375" style="1" customWidth="1"/>
    <col min="12809" max="12809" width="11" style="1" customWidth="1"/>
    <col min="12810" max="12810" width="11.44140625" style="1" customWidth="1"/>
    <col min="12811" max="12812" width="10.77734375" style="1" customWidth="1"/>
    <col min="12813" max="12813" width="11" style="1" customWidth="1"/>
    <col min="12814" max="12814" width="11.109375" style="1" customWidth="1"/>
    <col min="12815" max="12815" width="10.6640625" style="1" customWidth="1"/>
    <col min="12816" max="12816" width="11.6640625" style="1" customWidth="1"/>
    <col min="12817" max="13057" width="9.109375" style="1"/>
    <col min="13058" max="13060" width="2.6640625" style="1" customWidth="1"/>
    <col min="13061" max="13061" width="50" style="1" customWidth="1"/>
    <col min="13062" max="13062" width="13.33203125" style="1" customWidth="1"/>
    <col min="13063" max="13063" width="11.6640625" style="1" customWidth="1"/>
    <col min="13064" max="13064" width="11.77734375" style="1" customWidth="1"/>
    <col min="13065" max="13065" width="11" style="1" customWidth="1"/>
    <col min="13066" max="13066" width="11.44140625" style="1" customWidth="1"/>
    <col min="13067" max="13068" width="10.77734375" style="1" customWidth="1"/>
    <col min="13069" max="13069" width="11" style="1" customWidth="1"/>
    <col min="13070" max="13070" width="11.109375" style="1" customWidth="1"/>
    <col min="13071" max="13071" width="10.6640625" style="1" customWidth="1"/>
    <col min="13072" max="13072" width="11.6640625" style="1" customWidth="1"/>
    <col min="13073" max="13313" width="9.109375" style="1"/>
    <col min="13314" max="13316" width="2.6640625" style="1" customWidth="1"/>
    <col min="13317" max="13317" width="50" style="1" customWidth="1"/>
    <col min="13318" max="13318" width="13.33203125" style="1" customWidth="1"/>
    <col min="13319" max="13319" width="11.6640625" style="1" customWidth="1"/>
    <col min="13320" max="13320" width="11.77734375" style="1" customWidth="1"/>
    <col min="13321" max="13321" width="11" style="1" customWidth="1"/>
    <col min="13322" max="13322" width="11.44140625" style="1" customWidth="1"/>
    <col min="13323" max="13324" width="10.77734375" style="1" customWidth="1"/>
    <col min="13325" max="13325" width="11" style="1" customWidth="1"/>
    <col min="13326" max="13326" width="11.109375" style="1" customWidth="1"/>
    <col min="13327" max="13327" width="10.6640625" style="1" customWidth="1"/>
    <col min="13328" max="13328" width="11.6640625" style="1" customWidth="1"/>
    <col min="13329" max="13569" width="9.109375" style="1"/>
    <col min="13570" max="13572" width="2.6640625" style="1" customWidth="1"/>
    <col min="13573" max="13573" width="50" style="1" customWidth="1"/>
    <col min="13574" max="13574" width="13.33203125" style="1" customWidth="1"/>
    <col min="13575" max="13575" width="11.6640625" style="1" customWidth="1"/>
    <col min="13576" max="13576" width="11.77734375" style="1" customWidth="1"/>
    <col min="13577" max="13577" width="11" style="1" customWidth="1"/>
    <col min="13578" max="13578" width="11.44140625" style="1" customWidth="1"/>
    <col min="13579" max="13580" width="10.77734375" style="1" customWidth="1"/>
    <col min="13581" max="13581" width="11" style="1" customWidth="1"/>
    <col min="13582" max="13582" width="11.109375" style="1" customWidth="1"/>
    <col min="13583" max="13583" width="10.6640625" style="1" customWidth="1"/>
    <col min="13584" max="13584" width="11.6640625" style="1" customWidth="1"/>
    <col min="13585" max="13825" width="9.109375" style="1"/>
    <col min="13826" max="13828" width="2.6640625" style="1" customWidth="1"/>
    <col min="13829" max="13829" width="50" style="1" customWidth="1"/>
    <col min="13830" max="13830" width="13.33203125" style="1" customWidth="1"/>
    <col min="13831" max="13831" width="11.6640625" style="1" customWidth="1"/>
    <col min="13832" max="13832" width="11.77734375" style="1" customWidth="1"/>
    <col min="13833" max="13833" width="11" style="1" customWidth="1"/>
    <col min="13834" max="13834" width="11.44140625" style="1" customWidth="1"/>
    <col min="13835" max="13836" width="10.77734375" style="1" customWidth="1"/>
    <col min="13837" max="13837" width="11" style="1" customWidth="1"/>
    <col min="13838" max="13838" width="11.109375" style="1" customWidth="1"/>
    <col min="13839" max="13839" width="10.6640625" style="1" customWidth="1"/>
    <col min="13840" max="13840" width="11.6640625" style="1" customWidth="1"/>
    <col min="13841" max="14081" width="9.109375" style="1"/>
    <col min="14082" max="14084" width="2.6640625" style="1" customWidth="1"/>
    <col min="14085" max="14085" width="50" style="1" customWidth="1"/>
    <col min="14086" max="14086" width="13.33203125" style="1" customWidth="1"/>
    <col min="14087" max="14087" width="11.6640625" style="1" customWidth="1"/>
    <col min="14088" max="14088" width="11.77734375" style="1" customWidth="1"/>
    <col min="14089" max="14089" width="11" style="1" customWidth="1"/>
    <col min="14090" max="14090" width="11.44140625" style="1" customWidth="1"/>
    <col min="14091" max="14092" width="10.77734375" style="1" customWidth="1"/>
    <col min="14093" max="14093" width="11" style="1" customWidth="1"/>
    <col min="14094" max="14094" width="11.109375" style="1" customWidth="1"/>
    <col min="14095" max="14095" width="10.6640625" style="1" customWidth="1"/>
    <col min="14096" max="14096" width="11.6640625" style="1" customWidth="1"/>
    <col min="14097" max="14337" width="9.109375" style="1"/>
    <col min="14338" max="14340" width="2.6640625" style="1" customWidth="1"/>
    <col min="14341" max="14341" width="50" style="1" customWidth="1"/>
    <col min="14342" max="14342" width="13.33203125" style="1" customWidth="1"/>
    <col min="14343" max="14343" width="11.6640625" style="1" customWidth="1"/>
    <col min="14344" max="14344" width="11.77734375" style="1" customWidth="1"/>
    <col min="14345" max="14345" width="11" style="1" customWidth="1"/>
    <col min="14346" max="14346" width="11.44140625" style="1" customWidth="1"/>
    <col min="14347" max="14348" width="10.77734375" style="1" customWidth="1"/>
    <col min="14349" max="14349" width="11" style="1" customWidth="1"/>
    <col min="14350" max="14350" width="11.109375" style="1" customWidth="1"/>
    <col min="14351" max="14351" width="10.6640625" style="1" customWidth="1"/>
    <col min="14352" max="14352" width="11.6640625" style="1" customWidth="1"/>
    <col min="14353" max="14593" width="9.109375" style="1"/>
    <col min="14594" max="14596" width="2.6640625" style="1" customWidth="1"/>
    <col min="14597" max="14597" width="50" style="1" customWidth="1"/>
    <col min="14598" max="14598" width="13.33203125" style="1" customWidth="1"/>
    <col min="14599" max="14599" width="11.6640625" style="1" customWidth="1"/>
    <col min="14600" max="14600" width="11.77734375" style="1" customWidth="1"/>
    <col min="14601" max="14601" width="11" style="1" customWidth="1"/>
    <col min="14602" max="14602" width="11.44140625" style="1" customWidth="1"/>
    <col min="14603" max="14604" width="10.77734375" style="1" customWidth="1"/>
    <col min="14605" max="14605" width="11" style="1" customWidth="1"/>
    <col min="14606" max="14606" width="11.109375" style="1" customWidth="1"/>
    <col min="14607" max="14607" width="10.6640625" style="1" customWidth="1"/>
    <col min="14608" max="14608" width="11.6640625" style="1" customWidth="1"/>
    <col min="14609" max="14849" width="9.109375" style="1"/>
    <col min="14850" max="14852" width="2.6640625" style="1" customWidth="1"/>
    <col min="14853" max="14853" width="50" style="1" customWidth="1"/>
    <col min="14854" max="14854" width="13.33203125" style="1" customWidth="1"/>
    <col min="14855" max="14855" width="11.6640625" style="1" customWidth="1"/>
    <col min="14856" max="14856" width="11.77734375" style="1" customWidth="1"/>
    <col min="14857" max="14857" width="11" style="1" customWidth="1"/>
    <col min="14858" max="14858" width="11.44140625" style="1" customWidth="1"/>
    <col min="14859" max="14860" width="10.77734375" style="1" customWidth="1"/>
    <col min="14861" max="14861" width="11" style="1" customWidth="1"/>
    <col min="14862" max="14862" width="11.109375" style="1" customWidth="1"/>
    <col min="14863" max="14863" width="10.6640625" style="1" customWidth="1"/>
    <col min="14864" max="14864" width="11.6640625" style="1" customWidth="1"/>
    <col min="14865" max="15105" width="9.109375" style="1"/>
    <col min="15106" max="15108" width="2.6640625" style="1" customWidth="1"/>
    <col min="15109" max="15109" width="50" style="1" customWidth="1"/>
    <col min="15110" max="15110" width="13.33203125" style="1" customWidth="1"/>
    <col min="15111" max="15111" width="11.6640625" style="1" customWidth="1"/>
    <col min="15112" max="15112" width="11.77734375" style="1" customWidth="1"/>
    <col min="15113" max="15113" width="11" style="1" customWidth="1"/>
    <col min="15114" max="15114" width="11.44140625" style="1" customWidth="1"/>
    <col min="15115" max="15116" width="10.77734375" style="1" customWidth="1"/>
    <col min="15117" max="15117" width="11" style="1" customWidth="1"/>
    <col min="15118" max="15118" width="11.109375" style="1" customWidth="1"/>
    <col min="15119" max="15119" width="10.6640625" style="1" customWidth="1"/>
    <col min="15120" max="15120" width="11.6640625" style="1" customWidth="1"/>
    <col min="15121" max="15361" width="9.109375" style="1"/>
    <col min="15362" max="15364" width="2.6640625" style="1" customWidth="1"/>
    <col min="15365" max="15365" width="50" style="1" customWidth="1"/>
    <col min="15366" max="15366" width="13.33203125" style="1" customWidth="1"/>
    <col min="15367" max="15367" width="11.6640625" style="1" customWidth="1"/>
    <col min="15368" max="15368" width="11.77734375" style="1" customWidth="1"/>
    <col min="15369" max="15369" width="11" style="1" customWidth="1"/>
    <col min="15370" max="15370" width="11.44140625" style="1" customWidth="1"/>
    <col min="15371" max="15372" width="10.77734375" style="1" customWidth="1"/>
    <col min="15373" max="15373" width="11" style="1" customWidth="1"/>
    <col min="15374" max="15374" width="11.109375" style="1" customWidth="1"/>
    <col min="15375" max="15375" width="10.6640625" style="1" customWidth="1"/>
    <col min="15376" max="15376" width="11.6640625" style="1" customWidth="1"/>
    <col min="15377" max="15617" width="9.109375" style="1"/>
    <col min="15618" max="15620" width="2.6640625" style="1" customWidth="1"/>
    <col min="15621" max="15621" width="50" style="1" customWidth="1"/>
    <col min="15622" max="15622" width="13.33203125" style="1" customWidth="1"/>
    <col min="15623" max="15623" width="11.6640625" style="1" customWidth="1"/>
    <col min="15624" max="15624" width="11.77734375" style="1" customWidth="1"/>
    <col min="15625" max="15625" width="11" style="1" customWidth="1"/>
    <col min="15626" max="15626" width="11.44140625" style="1" customWidth="1"/>
    <col min="15627" max="15628" width="10.77734375" style="1" customWidth="1"/>
    <col min="15629" max="15629" width="11" style="1" customWidth="1"/>
    <col min="15630" max="15630" width="11.109375" style="1" customWidth="1"/>
    <col min="15631" max="15631" width="10.6640625" style="1" customWidth="1"/>
    <col min="15632" max="15632" width="11.6640625" style="1" customWidth="1"/>
    <col min="15633" max="15873" width="9.109375" style="1"/>
    <col min="15874" max="15876" width="2.6640625" style="1" customWidth="1"/>
    <col min="15877" max="15877" width="50" style="1" customWidth="1"/>
    <col min="15878" max="15878" width="13.33203125" style="1" customWidth="1"/>
    <col min="15879" max="15879" width="11.6640625" style="1" customWidth="1"/>
    <col min="15880" max="15880" width="11.77734375" style="1" customWidth="1"/>
    <col min="15881" max="15881" width="11" style="1" customWidth="1"/>
    <col min="15882" max="15882" width="11.44140625" style="1" customWidth="1"/>
    <col min="15883" max="15884" width="10.77734375" style="1" customWidth="1"/>
    <col min="15885" max="15885" width="11" style="1" customWidth="1"/>
    <col min="15886" max="15886" width="11.109375" style="1" customWidth="1"/>
    <col min="15887" max="15887" width="10.6640625" style="1" customWidth="1"/>
    <col min="15888" max="15888" width="11.6640625" style="1" customWidth="1"/>
    <col min="15889" max="16129" width="9.109375" style="1"/>
    <col min="16130" max="16132" width="2.6640625" style="1" customWidth="1"/>
    <col min="16133" max="16133" width="50" style="1" customWidth="1"/>
    <col min="16134" max="16134" width="13.33203125" style="1" customWidth="1"/>
    <col min="16135" max="16135" width="11.6640625" style="1" customWidth="1"/>
    <col min="16136" max="16136" width="11.77734375" style="1" customWidth="1"/>
    <col min="16137" max="16137" width="11" style="1" customWidth="1"/>
    <col min="16138" max="16138" width="11.44140625" style="1" customWidth="1"/>
    <col min="16139" max="16140" width="10.77734375" style="1" customWidth="1"/>
    <col min="16141" max="16141" width="11" style="1" customWidth="1"/>
    <col min="16142" max="16142" width="11.109375" style="1" customWidth="1"/>
    <col min="16143" max="16143" width="10.6640625" style="1" customWidth="1"/>
    <col min="16144" max="16144" width="11.6640625" style="1" customWidth="1"/>
    <col min="16145" max="16384" width="9.109375" style="1"/>
  </cols>
  <sheetData>
    <row r="2" spans="2:16" ht="35.25" customHeight="1" x14ac:dyDescent="0.25"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2:16" ht="84" customHeight="1" x14ac:dyDescent="0.25">
      <c r="B3" s="2"/>
      <c r="C3" s="2"/>
      <c r="D3" s="2"/>
      <c r="E3" s="2"/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</row>
    <row r="4" spans="2:16" ht="19.8" x14ac:dyDescent="0.25">
      <c r="B4" s="4"/>
      <c r="C4" s="20" t="s">
        <v>12</v>
      </c>
      <c r="D4" s="21"/>
      <c r="E4" s="17"/>
      <c r="F4" s="22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2:16" x14ac:dyDescent="0.25">
      <c r="B5" s="4"/>
      <c r="C5" s="5"/>
      <c r="D5" s="24" t="s">
        <v>13</v>
      </c>
      <c r="E5" s="25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2:16" ht="12.75" customHeight="1" x14ac:dyDescent="0.25">
      <c r="B6" s="4"/>
      <c r="C6" s="5"/>
      <c r="D6" s="26" t="s">
        <v>14</v>
      </c>
      <c r="E6" s="27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2:16" x14ac:dyDescent="0.25">
      <c r="B7" s="4"/>
      <c r="C7" s="5"/>
      <c r="D7" s="5"/>
      <c r="E7" s="7" t="s">
        <v>15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x14ac:dyDescent="0.25">
      <c r="B8" s="4"/>
      <c r="C8" s="5"/>
      <c r="D8" s="5"/>
      <c r="E8" s="7" t="s">
        <v>16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2:16" ht="22.8" x14ac:dyDescent="0.25">
      <c r="B9" s="4"/>
      <c r="C9" s="5"/>
      <c r="D9" s="5"/>
      <c r="E9" s="7" t="s">
        <v>17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2:16" x14ac:dyDescent="0.25">
      <c r="B10" s="4"/>
      <c r="C10" s="5"/>
      <c r="D10" s="5"/>
      <c r="E10" s="7" t="s">
        <v>18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2:16" x14ac:dyDescent="0.25">
      <c r="B11" s="4"/>
      <c r="C11" s="5"/>
      <c r="D11" s="5"/>
      <c r="E11" s="7" t="s">
        <v>19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2:16" ht="22.8" x14ac:dyDescent="0.25">
      <c r="B12" s="4"/>
      <c r="C12" s="5"/>
      <c r="D12" s="5"/>
      <c r="E12" s="7" t="s">
        <v>20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2:16" x14ac:dyDescent="0.25">
      <c r="B13" s="4"/>
      <c r="C13" s="5"/>
      <c r="D13" s="5"/>
      <c r="E13" s="7" t="s">
        <v>21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2:16" x14ac:dyDescent="0.25">
      <c r="B14" s="4"/>
      <c r="C14" s="5"/>
      <c r="D14" s="5"/>
      <c r="E14" s="7" t="s">
        <v>22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2:16" ht="22.8" x14ac:dyDescent="0.25">
      <c r="B15" s="4"/>
      <c r="C15" s="5"/>
      <c r="D15" s="5"/>
      <c r="E15" s="7" t="s">
        <v>23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2:16" x14ac:dyDescent="0.25">
      <c r="B16" s="4"/>
      <c r="C16" s="5"/>
      <c r="D16" s="5"/>
      <c r="E16" s="7" t="s">
        <v>24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2:16" x14ac:dyDescent="0.25">
      <c r="B17" s="4"/>
      <c r="C17" s="5"/>
      <c r="D17" s="8"/>
      <c r="E17" s="9" t="s">
        <v>25</v>
      </c>
      <c r="F17" s="10">
        <f t="shared" ref="F17:P17" si="0">SUM(F7:F13)-F14+F15+F16</f>
        <v>0</v>
      </c>
      <c r="G17" s="10">
        <f t="shared" si="0"/>
        <v>0</v>
      </c>
      <c r="H17" s="10">
        <f t="shared" si="0"/>
        <v>0</v>
      </c>
      <c r="I17" s="10">
        <f t="shared" si="0"/>
        <v>0</v>
      </c>
      <c r="J17" s="10">
        <f t="shared" si="0"/>
        <v>0</v>
      </c>
      <c r="K17" s="10">
        <f t="shared" si="0"/>
        <v>0</v>
      </c>
      <c r="L17" s="10">
        <f t="shared" si="0"/>
        <v>0</v>
      </c>
      <c r="M17" s="10">
        <f t="shared" si="0"/>
        <v>0</v>
      </c>
      <c r="N17" s="10">
        <f t="shared" si="0"/>
        <v>0</v>
      </c>
      <c r="O17" s="10">
        <f t="shared" si="0"/>
        <v>0</v>
      </c>
      <c r="P17" s="10">
        <f t="shared" si="0"/>
        <v>0</v>
      </c>
    </row>
    <row r="18" spans="2:16" ht="28.05" customHeight="1" x14ac:dyDescent="0.25">
      <c r="B18" s="4"/>
      <c r="C18" s="5"/>
      <c r="D18" s="20" t="s">
        <v>26</v>
      </c>
      <c r="E18" s="1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2:16" x14ac:dyDescent="0.25">
      <c r="B19" s="4"/>
      <c r="C19" s="5"/>
      <c r="D19" s="5"/>
      <c r="E19" s="7" t="s">
        <v>27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2:16" ht="22.8" x14ac:dyDescent="0.25">
      <c r="B20" s="4"/>
      <c r="C20" s="5"/>
      <c r="D20" s="5"/>
      <c r="E20" s="7" t="s">
        <v>28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2:16" ht="22.8" x14ac:dyDescent="0.25">
      <c r="B21" s="4"/>
      <c r="C21" s="5"/>
      <c r="D21" s="5"/>
      <c r="E21" s="7" t="s">
        <v>29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2:16" ht="22.8" x14ac:dyDescent="0.25">
      <c r="B22" s="4"/>
      <c r="C22" s="5"/>
      <c r="D22" s="5"/>
      <c r="E22" s="7" t="s">
        <v>30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2:16" ht="22.8" x14ac:dyDescent="0.25">
      <c r="B23" s="4"/>
      <c r="C23" s="5"/>
      <c r="D23" s="5"/>
      <c r="E23" s="7" t="s">
        <v>31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2:16" x14ac:dyDescent="0.25">
      <c r="B24" s="4"/>
      <c r="C24" s="5"/>
      <c r="D24" s="5"/>
      <c r="E24" s="7" t="s">
        <v>32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2:16" ht="22.8" x14ac:dyDescent="0.25">
      <c r="B25" s="4"/>
      <c r="C25" s="5"/>
      <c r="D25" s="8"/>
      <c r="E25" s="9" t="s">
        <v>33</v>
      </c>
      <c r="F25" s="10">
        <f t="shared" ref="F25:P25" si="1">F5+F17+SUM(F19:F24)</f>
        <v>0</v>
      </c>
      <c r="G25" s="10">
        <f t="shared" si="1"/>
        <v>0</v>
      </c>
      <c r="H25" s="10">
        <f t="shared" si="1"/>
        <v>0</v>
      </c>
      <c r="I25" s="10">
        <f t="shared" si="1"/>
        <v>0</v>
      </c>
      <c r="J25" s="10">
        <f t="shared" si="1"/>
        <v>0</v>
      </c>
      <c r="K25" s="10">
        <f t="shared" si="1"/>
        <v>0</v>
      </c>
      <c r="L25" s="10">
        <f t="shared" si="1"/>
        <v>0</v>
      </c>
      <c r="M25" s="10">
        <f t="shared" si="1"/>
        <v>0</v>
      </c>
      <c r="N25" s="10">
        <f t="shared" si="1"/>
        <v>0</v>
      </c>
      <c r="O25" s="10">
        <f t="shared" si="1"/>
        <v>0</v>
      </c>
      <c r="P25" s="10">
        <f t="shared" si="1"/>
        <v>0</v>
      </c>
    </row>
    <row r="26" spans="2:16" ht="28.05" customHeight="1" x14ac:dyDescent="0.25">
      <c r="B26" s="4"/>
      <c r="C26" s="5"/>
      <c r="D26" s="20" t="s">
        <v>34</v>
      </c>
      <c r="E26" s="1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2:16" ht="22.8" x14ac:dyDescent="0.25">
      <c r="B27" s="4"/>
      <c r="C27" s="5"/>
      <c r="D27" s="5"/>
      <c r="E27" s="7" t="s">
        <v>35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2:16" ht="22.8" x14ac:dyDescent="0.25">
      <c r="B28" s="4"/>
      <c r="C28" s="5"/>
      <c r="D28" s="5"/>
      <c r="E28" s="7" t="s">
        <v>36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2:16" ht="22.8" x14ac:dyDescent="0.25">
      <c r="B29" s="4"/>
      <c r="C29" s="5"/>
      <c r="D29" s="5"/>
      <c r="E29" s="7" t="s">
        <v>37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2:16" ht="22.8" x14ac:dyDescent="0.25">
      <c r="B30" s="4"/>
      <c r="C30" s="5"/>
      <c r="D30" s="5"/>
      <c r="E30" s="7" t="s">
        <v>38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2:16" ht="22.8" x14ac:dyDescent="0.25">
      <c r="B31" s="4"/>
      <c r="C31" s="5"/>
      <c r="D31" s="5"/>
      <c r="E31" s="7" t="s">
        <v>39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2:16" ht="22.8" x14ac:dyDescent="0.25">
      <c r="B32" s="4"/>
      <c r="C32" s="5"/>
      <c r="D32" s="5"/>
      <c r="E32" s="7" t="s">
        <v>40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2:16" ht="22.8" x14ac:dyDescent="0.25">
      <c r="B33" s="4"/>
      <c r="C33" s="5"/>
      <c r="D33" s="5"/>
      <c r="E33" s="7" t="s">
        <v>41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2:16" x14ac:dyDescent="0.25">
      <c r="B34" s="4"/>
      <c r="C34" s="5"/>
      <c r="D34" s="5"/>
      <c r="E34" s="7" t="s">
        <v>42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2:16" x14ac:dyDescent="0.25">
      <c r="B35" s="4"/>
      <c r="C35" s="5"/>
      <c r="D35" s="5"/>
      <c r="E35" s="7" t="s">
        <v>43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2:16" x14ac:dyDescent="0.25">
      <c r="B36" s="4"/>
      <c r="C36" s="5"/>
      <c r="D36" s="5"/>
      <c r="E36" s="7" t="s">
        <v>44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2:16" x14ac:dyDescent="0.25">
      <c r="B37" s="4"/>
      <c r="C37" s="5"/>
      <c r="D37" s="5"/>
      <c r="E37" s="7" t="s">
        <v>45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2:16" x14ac:dyDescent="0.25">
      <c r="B38" s="4"/>
      <c r="C38" s="5"/>
      <c r="D38" s="5"/>
      <c r="E38" s="7" t="s">
        <v>46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2:16" x14ac:dyDescent="0.25">
      <c r="B39" s="4"/>
      <c r="C39" s="5"/>
      <c r="D39" s="5"/>
      <c r="E39" s="7" t="s">
        <v>47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2:16" ht="22.8" x14ac:dyDescent="0.25">
      <c r="B40" s="4"/>
      <c r="C40" s="5"/>
      <c r="D40" s="5"/>
      <c r="E40" s="7" t="s">
        <v>48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2:16" ht="22.8" x14ac:dyDescent="0.25">
      <c r="B41" s="4"/>
      <c r="C41" s="5"/>
      <c r="D41" s="5"/>
      <c r="E41" s="7" t="s">
        <v>49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2:16" x14ac:dyDescent="0.25">
      <c r="B42" s="4"/>
      <c r="C42" s="5"/>
      <c r="D42" s="5"/>
      <c r="E42" s="7" t="s">
        <v>50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2:16" x14ac:dyDescent="0.25">
      <c r="B43" s="4"/>
      <c r="C43" s="5"/>
      <c r="D43" s="5"/>
      <c r="E43" s="7" t="s">
        <v>51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2:16" x14ac:dyDescent="0.25">
      <c r="B44" s="4"/>
      <c r="C44" s="5"/>
      <c r="D44" s="5"/>
      <c r="E44" s="7" t="s">
        <v>32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2:16" ht="22.8" x14ac:dyDescent="0.25">
      <c r="B45" s="4"/>
      <c r="C45" s="5"/>
      <c r="D45" s="8"/>
      <c r="E45" s="9" t="s">
        <v>52</v>
      </c>
      <c r="F45" s="10">
        <f t="shared" ref="F45:P45" si="2">F27-F28+F29-F30+F31-F32+F33-F34+F35-F36+F37-F38+F39-F40+SUM(F41:F44)</f>
        <v>0</v>
      </c>
      <c r="G45" s="10">
        <f t="shared" si="2"/>
        <v>0</v>
      </c>
      <c r="H45" s="10">
        <f t="shared" si="2"/>
        <v>0</v>
      </c>
      <c r="I45" s="10">
        <f t="shared" si="2"/>
        <v>0</v>
      </c>
      <c r="J45" s="10">
        <f t="shared" si="2"/>
        <v>0</v>
      </c>
      <c r="K45" s="10">
        <f t="shared" si="2"/>
        <v>0</v>
      </c>
      <c r="L45" s="10">
        <f t="shared" si="2"/>
        <v>0</v>
      </c>
      <c r="M45" s="10">
        <f t="shared" si="2"/>
        <v>0</v>
      </c>
      <c r="N45" s="10">
        <f t="shared" si="2"/>
        <v>0</v>
      </c>
      <c r="O45" s="10">
        <f t="shared" si="2"/>
        <v>0</v>
      </c>
      <c r="P45" s="10">
        <f t="shared" si="2"/>
        <v>0</v>
      </c>
    </row>
    <row r="46" spans="2:16" ht="28.05" customHeight="1" x14ac:dyDescent="0.25">
      <c r="B46" s="4"/>
      <c r="C46" s="5"/>
      <c r="D46" s="26" t="s">
        <v>53</v>
      </c>
      <c r="E46" s="2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2:16" ht="22.8" x14ac:dyDescent="0.25">
      <c r="B47" s="4"/>
      <c r="C47" s="5"/>
      <c r="D47" s="5"/>
      <c r="E47" s="7" t="s">
        <v>54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2:16" ht="22.8" x14ac:dyDescent="0.25">
      <c r="B48" s="4"/>
      <c r="C48" s="5"/>
      <c r="D48" s="5"/>
      <c r="E48" s="7" t="s">
        <v>55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2:16" ht="22.8" x14ac:dyDescent="0.25">
      <c r="B49" s="4"/>
      <c r="C49" s="5"/>
      <c r="D49" s="5"/>
      <c r="E49" s="7" t="s">
        <v>56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2:16" x14ac:dyDescent="0.25">
      <c r="B50" s="4"/>
      <c r="C50" s="5"/>
      <c r="D50" s="5"/>
      <c r="E50" s="7" t="s">
        <v>57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2:16" x14ac:dyDescent="0.25">
      <c r="B51" s="4"/>
      <c r="C51" s="5"/>
      <c r="D51" s="5"/>
      <c r="E51" s="7" t="s">
        <v>58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2:16" x14ac:dyDescent="0.25">
      <c r="B52" s="4"/>
      <c r="C52" s="5"/>
      <c r="D52" s="5"/>
      <c r="E52" s="7" t="s">
        <v>59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2:16" x14ac:dyDescent="0.25">
      <c r="B53" s="4"/>
      <c r="C53" s="5"/>
      <c r="D53" s="5"/>
      <c r="E53" s="7" t="s">
        <v>60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2:16" x14ac:dyDescent="0.25">
      <c r="B54" s="4"/>
      <c r="C54" s="5"/>
      <c r="D54" s="5"/>
      <c r="E54" s="7" t="s">
        <v>61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2:16" x14ac:dyDescent="0.25">
      <c r="B55" s="4"/>
      <c r="C55" s="5"/>
      <c r="D55" s="5"/>
      <c r="E55" s="7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2:16" x14ac:dyDescent="0.25">
      <c r="B56" s="4"/>
      <c r="C56" s="5"/>
      <c r="D56" s="5"/>
      <c r="E56" s="7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2:16" x14ac:dyDescent="0.25">
      <c r="B57" s="4"/>
      <c r="C57" s="5"/>
      <c r="D57" s="5"/>
      <c r="E57" s="7" t="s">
        <v>47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2:16" x14ac:dyDescent="0.25">
      <c r="B58" s="4"/>
      <c r="C58" s="5"/>
      <c r="D58" s="5"/>
      <c r="E58" s="7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2:16" x14ac:dyDescent="0.25">
      <c r="B59" s="4"/>
      <c r="C59" s="5"/>
      <c r="D59" s="5"/>
      <c r="E59" s="7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2:16" x14ac:dyDescent="0.25">
      <c r="B60" s="4"/>
      <c r="C60" s="5"/>
      <c r="D60" s="5"/>
      <c r="E60" s="7" t="s">
        <v>32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2:16" ht="22.8" x14ac:dyDescent="0.25">
      <c r="B61" s="4"/>
      <c r="C61" s="5"/>
      <c r="D61" s="5"/>
      <c r="E61" s="9" t="s">
        <v>66</v>
      </c>
      <c r="F61" s="10">
        <f t="shared" ref="F61:P61" si="3">F47-F48+F49-F50-F51+F52-F53+F54-F55-F56+F57-F58-F59+F60</f>
        <v>0</v>
      </c>
      <c r="G61" s="10">
        <f t="shared" si="3"/>
        <v>0</v>
      </c>
      <c r="H61" s="10">
        <f t="shared" si="3"/>
        <v>0</v>
      </c>
      <c r="I61" s="10">
        <f t="shared" si="3"/>
        <v>0</v>
      </c>
      <c r="J61" s="10">
        <f t="shared" si="3"/>
        <v>0</v>
      </c>
      <c r="K61" s="10">
        <f t="shared" si="3"/>
        <v>0</v>
      </c>
      <c r="L61" s="10">
        <f t="shared" si="3"/>
        <v>0</v>
      </c>
      <c r="M61" s="10">
        <f t="shared" si="3"/>
        <v>0</v>
      </c>
      <c r="N61" s="10">
        <f t="shared" si="3"/>
        <v>0</v>
      </c>
      <c r="O61" s="10">
        <f t="shared" si="3"/>
        <v>0</v>
      </c>
      <c r="P61" s="10">
        <f t="shared" si="3"/>
        <v>0</v>
      </c>
    </row>
    <row r="62" spans="2:16" ht="34.200000000000003" x14ac:dyDescent="0.25">
      <c r="B62" s="4"/>
      <c r="C62" s="5"/>
      <c r="D62" s="8"/>
      <c r="E62" s="9" t="s">
        <v>67</v>
      </c>
      <c r="F62" s="10">
        <f t="shared" ref="F62:P62" si="4">F25+F45+F61</f>
        <v>0</v>
      </c>
      <c r="G62" s="10">
        <f t="shared" si="4"/>
        <v>0</v>
      </c>
      <c r="H62" s="10">
        <f t="shared" si="4"/>
        <v>0</v>
      </c>
      <c r="I62" s="10">
        <f t="shared" si="4"/>
        <v>0</v>
      </c>
      <c r="J62" s="10">
        <f t="shared" si="4"/>
        <v>0</v>
      </c>
      <c r="K62" s="10">
        <f t="shared" si="4"/>
        <v>0</v>
      </c>
      <c r="L62" s="10">
        <f t="shared" si="4"/>
        <v>0</v>
      </c>
      <c r="M62" s="10">
        <f t="shared" si="4"/>
        <v>0</v>
      </c>
      <c r="N62" s="10">
        <f t="shared" si="4"/>
        <v>0</v>
      </c>
      <c r="O62" s="10">
        <f t="shared" si="4"/>
        <v>0</v>
      </c>
      <c r="P62" s="10">
        <f t="shared" si="4"/>
        <v>0</v>
      </c>
    </row>
    <row r="63" spans="2:16" ht="28.05" customHeight="1" x14ac:dyDescent="0.25">
      <c r="B63" s="4"/>
      <c r="C63" s="5"/>
      <c r="D63" s="26" t="s">
        <v>68</v>
      </c>
      <c r="E63" s="2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2:16" ht="22.8" x14ac:dyDescent="0.25">
      <c r="B64" s="4"/>
      <c r="C64" s="5"/>
      <c r="D64" s="8"/>
      <c r="E64" s="7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2:16" x14ac:dyDescent="0.25">
      <c r="B65" s="4"/>
      <c r="C65" s="5"/>
      <c r="D65" s="16" t="s">
        <v>70</v>
      </c>
      <c r="E65" s="17"/>
      <c r="F65" s="10">
        <f t="shared" ref="F65:P65" si="5">F62+F64</f>
        <v>0</v>
      </c>
      <c r="G65" s="10">
        <f t="shared" si="5"/>
        <v>0</v>
      </c>
      <c r="H65" s="10">
        <f t="shared" si="5"/>
        <v>0</v>
      </c>
      <c r="I65" s="10">
        <f t="shared" si="5"/>
        <v>0</v>
      </c>
      <c r="J65" s="10">
        <f t="shared" si="5"/>
        <v>0</v>
      </c>
      <c r="K65" s="10">
        <f t="shared" si="5"/>
        <v>0</v>
      </c>
      <c r="L65" s="10">
        <f t="shared" si="5"/>
        <v>0</v>
      </c>
      <c r="M65" s="10">
        <f t="shared" si="5"/>
        <v>0</v>
      </c>
      <c r="N65" s="10">
        <f t="shared" si="5"/>
        <v>0</v>
      </c>
      <c r="O65" s="10">
        <f t="shared" si="5"/>
        <v>0</v>
      </c>
      <c r="P65" s="10">
        <f t="shared" si="5"/>
        <v>0</v>
      </c>
    </row>
    <row r="66" spans="2:16" x14ac:dyDescent="0.25">
      <c r="B66" s="4"/>
      <c r="C66" s="5"/>
      <c r="D66" s="16" t="s">
        <v>71</v>
      </c>
      <c r="E66" s="17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2:16" x14ac:dyDescent="0.25">
      <c r="B67" s="11"/>
      <c r="C67" s="8"/>
      <c r="D67" s="16" t="s">
        <v>72</v>
      </c>
      <c r="E67" s="17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70" spans="2:16" x14ac:dyDescent="0.25">
      <c r="E70" s="13" t="s">
        <v>78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2:16" x14ac:dyDescent="0.25">
      <c r="E71" s="14" t="s">
        <v>79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2:16" x14ac:dyDescent="0.25">
      <c r="E72" s="14" t="s">
        <v>80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2:16" x14ac:dyDescent="0.25">
      <c r="E73" s="14" t="s">
        <v>81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2:16" x14ac:dyDescent="0.25">
      <c r="E74" s="14" t="s">
        <v>82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2:16" x14ac:dyDescent="0.25">
      <c r="E75" s="14" t="s">
        <v>83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7" spans="2:16" ht="29.25" customHeight="1" x14ac:dyDescent="0.25">
      <c r="C77" s="7"/>
      <c r="D77" s="15" t="s">
        <v>73</v>
      </c>
      <c r="E77" s="15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82" spans="6:9" ht="14.4" x14ac:dyDescent="0.3">
      <c r="F82" t="s">
        <v>74</v>
      </c>
      <c r="G82"/>
      <c r="H82"/>
      <c r="I82"/>
    </row>
    <row r="83" spans="6:9" ht="14.4" x14ac:dyDescent="0.3">
      <c r="F83"/>
      <c r="G83"/>
      <c r="H83"/>
      <c r="I83"/>
    </row>
    <row r="84" spans="6:9" ht="14.4" x14ac:dyDescent="0.3">
      <c r="F84"/>
      <c r="G84"/>
      <c r="H84"/>
      <c r="I84"/>
    </row>
    <row r="85" spans="6:9" ht="14.4" x14ac:dyDescent="0.3">
      <c r="F85"/>
      <c r="G85"/>
      <c r="H85"/>
      <c r="I85"/>
    </row>
    <row r="86" spans="6:9" ht="14.4" x14ac:dyDescent="0.3">
      <c r="F86"/>
      <c r="G86"/>
      <c r="H86"/>
      <c r="I86"/>
    </row>
    <row r="87" spans="6:9" ht="14.4" x14ac:dyDescent="0.3">
      <c r="F87"/>
      <c r="G87"/>
      <c r="H87"/>
      <c r="I87"/>
    </row>
    <row r="88" spans="6:9" ht="33.75" customHeight="1" x14ac:dyDescent="0.3">
      <c r="F88"/>
      <c r="G88" s="12" t="s">
        <v>84</v>
      </c>
      <c r="H88" s="12" t="s">
        <v>77</v>
      </c>
      <c r="I88" s="12"/>
    </row>
    <row r="89" spans="6:9" ht="14.4" x14ac:dyDescent="0.3">
      <c r="F89"/>
      <c r="G89" s="12" t="s">
        <v>75</v>
      </c>
      <c r="H89" s="12" t="s">
        <v>75</v>
      </c>
      <c r="I89"/>
    </row>
    <row r="90" spans="6:9" ht="14.4" x14ac:dyDescent="0.3">
      <c r="F90"/>
      <c r="G90" s="12"/>
      <c r="H90" s="12" t="s">
        <v>76</v>
      </c>
      <c r="I90"/>
    </row>
  </sheetData>
  <mergeCells count="13">
    <mergeCell ref="D77:E77"/>
    <mergeCell ref="D67:E67"/>
    <mergeCell ref="B2:P2"/>
    <mergeCell ref="C4:E4"/>
    <mergeCell ref="F4:P4"/>
    <mergeCell ref="D5:E5"/>
    <mergeCell ref="D6:E6"/>
    <mergeCell ref="D18:E18"/>
    <mergeCell ref="D26:E26"/>
    <mergeCell ref="D46:E46"/>
    <mergeCell ref="D63:E63"/>
    <mergeCell ref="D65:E65"/>
    <mergeCell ref="D66:E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 DE EFECTIVO PROYECTADO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</dc:creator>
  <cp:lastModifiedBy>Gustavo Andrés Valle</cp:lastModifiedBy>
  <dcterms:created xsi:type="dcterms:W3CDTF">2020-04-24T15:23:11Z</dcterms:created>
  <dcterms:modified xsi:type="dcterms:W3CDTF">2021-07-21T21:13:27Z</dcterms:modified>
</cp:coreProperties>
</file>